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"/>
    </mc:Choice>
  </mc:AlternateContent>
  <x:bookViews>
    <x:workbookView xWindow="0" yWindow="0" windowWidth="22788" windowHeight="8112" activeTab="5"/>
  </x:bookViews>
  <x:sheets>
    <x:sheet name="위생표지" sheetId="1" r:id="rId4"/>
    <x:sheet name="위생(1)" sheetId="2" r:id="rId5"/>
    <x:sheet name="위생(2)" sheetId="3" r:id="rId6"/>
    <x:sheet name="위생(3)" sheetId="4" r:id="rId7"/>
    <x:sheet name="운영(교육청)" sheetId="5" r:id="rId8"/>
    <x:sheet name="운영(학교)" sheetId="6" r:id="rId9"/>
  </x:sheets>
  <x:definedNames>
    <x:definedName name="_xlnm._FilterDatabase" localSheetId="0" hidden="1">위생표지!$A$2:$X$12</x:definedName>
    <x:definedName name="_xlnm._FilterDatabase" localSheetId="2" hidden="1">'위생(2)'!$A$4:$Y$4</x:definedName>
    <x:definedName name="_xlnm.Print_Area" localSheetId="0">위생표지!$A$1:$X$28</x:definedName>
    <x:definedName name="_xlnm.Print_Area" localSheetId="1">'위생(1)'!$A$1:$E$20</x:definedName>
    <x:definedName name="_xlnm.Print_Area" localSheetId="2">'위생(2)'!$A$1:$F$55</x:definedName>
    <x:definedName name="_xlnm.Print_Area" localSheetId="3">'위생(3)'!$A$1:$C$8</x:definedName>
    <x:definedName name="_xlnm.Print_Area" localSheetId="4">'운영(교육청)'!$A$1:$G$19</x:definedName>
    <x:definedName name="_xlnm.Print_Area" localSheetId="5">'운영(학교)'!$A$1:$G$20</x:definedName>
    <x:definedName name="_xlnm.Print_Titles" localSheetId="1">'위생(1)'!$4:$4</x:definedName>
    <x:definedName name="_xlnm.Print_Titles" localSheetId="2">'위생(2)'!$4:$4</x:definedName>
    <x:definedName name="_xlnm.Print_Titles" localSheetId="3">'위생(3)'!$4:$4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<x:sst xmlns:r="http://schemas.openxmlformats.org/officeDocument/2006/relationships" xmlns:c="http://schemas.openxmlformats.org/drawingml/2006/chart" xmlns:x="http://schemas.openxmlformats.org/spreadsheetml/2006/main" count="622" uniqueCount="384">
  <x:si>
    <x:t>건강진단결과서(구 보건증)</x:t>
  </x:si>
  <x:si>
    <x:t>14. 조리된 음식의 안전한 급식을 위하여 운반 및 배식기구 등을 청결히 관리하여야 하며, 배식 중에 운반 및 배식기구 등으로 인하여 오염이 일어나지 않도록 조치하는지 여부</x:t>
  </x:si>
  <x:si>
    <x:t xml:space="preserve">수도전 충분하여 호스 미사용, 호스가 바닥에 닿지 않게 짧게 설치하여 적정 사용 (3점) </x:t>
  </x:si>
  <x:si>
    <x:t>28. 냉동･냉장시설의 적정용량 확보 및 온도유지, 급식품 외 보관하는 것은 없는지 여부</x:t>
  </x:si>
  <x:si>
    <x:t xml:space="preserve">3. 급식 및 식생활 지도를 실시
   하고 있는가? 
  ‐ 지도계획 수립 및 이행 여부 </x:t>
  </x:si>
  <x:si>
    <x:t>• 상반기에 설문조사(인식도 등) 실시하고, 결과 분석 및 조치계획을 포함하여 공개 하면 적정
 ‐ 단순한 통계가 아닌 총괄 또는 미흡한 부분에 대한 개선조치 내용 포함
 ‐ 설문조사는 전체 학생수의 30% 이상 (또는 36학급 이상 학교는 특정학년(반) 지정) 권장
※ 다만, 특수학교 중 수요자 조사가 어려운 경우에 한하여 평가항목에서 제외</x:t>
  </x:si>
  <x:si>
    <x:t>• 영양상담 계획서 수립 및 상담 실시(상담 일지 비치 등)한 경우 적정
 ‐ (내용/대상) 식생활에서 기인하는 영양불균형을 시정하고 질병을 사전에 예방하기 위하여 저체중 및 성장부진, 빈혈, 과체중 및 비만학생 등 영양상담이 필요한 학생
 ‐ (상담방법) 집단상담, 특별상담, 사이버 상담 등
※ 필요시 학부모, 교직원도 권장
※ 상담계획 및 실시 안내를 하였으나 수요자가 없는 경우는 ‘적정’으로 체크 가능</x:t>
  </x:si>
  <x:si>
    <x:t>2. 식단에 표시 대상 식재료의 원산지 및 영양량 표시제도 시행, 실제 급식 메뉴 사진을 학교 누리집 등에 게시하고 있는가?
  ‐ 주요 식재료의 원산지 및 1식당 에너지, 단백질, 비타민, 칼슘 등 주요 영양소에 대한 영양량을 표시하여 공지하는지와 학생들에게 제공되는 실제 급식 사진을 학교 누리집 등에 게시하는지 여부</x:t>
  </x:si>
  <x:si>
    <x:t>• 나트륨 및 당류 저감화 계획수립 및 이행, 튀김류(가공식품 등) 주 2회 이하 사용
 ‐ 나트륨 및 당류 등 저감화 계획을 학교급식 운영계획 등에 반영
 ‐ 특히, 나트륨 저감화를 위한 염도계 비치, 국 염도 관리, 싱겁게 먹기 교육 여부 확인
 ‐ 트랜스지방 함유 식품 및 고열량･저영양 식품의 사용 제한</x:t>
  </x:si>
  <x:si>
    <x:r>
      <x:t>§</x:t>
    </x:r>
    <x:r>
      <x:rPr>
        <x:rFont val="굴림"/>
        <x:sz val="10"/>
        <x:color rgb="ff000000"/>
      </x:rPr>
      <x:t xml:space="preserve"> 학교운영위원회 심의(자문) 여부
 ‐「학교급식법 시행령」 제2조제2항의 심의 사항에 대한 심의(자문) 여부 확인
‣급식운영방식, 급식횟수, 급식시간 및 구체적 영양기준, 학교급식 운영계획, 식재료의 원산지 및 품질등급, 완제품 사용 승인, 보호자 부담경비, 급식활동에 관한 보호자의 참여 등 중요사항</x:t>
    </x:r>
  </x:si>
  <x:si>
    <x:t>※ 음식물쓰레기 줄이기 계획수립 및 시행, 학부모 학교급식 모니터링 운영, 학교 누리집에 급식 게시판 운영 등 권장
※ 학교급식소위원회 구성(｢초‧중등교육법 시행령｣ 제60조의2에서 의무설치) 및 운영</x:t>
  </x:si>
  <x:si>
    <x:r>
      <x:t>§</x:t>
    </x:r>
    <x:r>
      <x:rPr>
        <x:rFont val="굴림"/>
        <x:sz val="10"/>
        <x:color rgb="ff000000"/>
      </x:rPr>
      <x:t xml:space="preserve"> 학교급식 영양관리 기준 준수 여부
 ‐ 학교운영위원회의 심의를 거쳐 결정된 단위 학교별 자체 영양기준량에 대해 아래의 기준 준수 여부 확인
‣학년별･성별 에너지 공급기준 ±10% 이내  
‣탄수화물(55∼65%), 단백질(7∼20%), 지방(15∼30%)의 공급비율 
‣단백질 상한비율 (20%) 
‣비타민, 무기질의 평균 필요량
 ‐ 계절별로 1주일씩 발췌하여 평균으로 확인(봄:3~5월, 여름:6~8월, 가을: 9~11월, 겨울: 12~2월)
  ※ 1일 2식 이상 급식제공 학교는 중식을 기준으로 확인
※(참고) 2027.3월 부터는 개정 「학교급식의 영양관리기준」 적용 예정</x:t>
    </x:r>
  </x:si>
  <x:si>
    <x:t>• 식생활 관련 정보제공 방법
 ‐ 가정통신문 등을 통한 안내자료 또는 학교 누리집 활용 등 포함 (대상별로 교육 정보 제공)</x:t>
  </x:si>
  <x:si>
    <x:t xml:space="preserve">조리장 내 수세시설 적정 설치 (수량, 위치, 온수, 손잡이는 페달식 또는 원터치식), 신발소독시설 적정 설치 및 이용(3점) </x:t>
  </x:si>
  <x:si>
    <x:t>1. 식단 작성 시 다음 사항을 고려하고 있는가?
  ‐ 전통 식문화(食文化)의 계승･발전
  ‐ 다양한 종류의 식품을 사용할 것
  ‐ 염분･유지류･단순당류 또는 식품첨가물 등의 과다 사용 제한
  ‐ 자연식품과 계절식품을 사용</x:t>
  </x:si>
  <x:si>
    <x:r>
      <x:t>§</x:t>
    </x:r>
    <x:r>
      <x:rPr>
        <x:rFont val="굴림"/>
        <x:sz val="10"/>
        <x:color rgb="ff000000"/>
      </x:rPr>
      <x:t xml:space="preserve"> 식재료 품질관리 기준 준수여부
 - 검수일지, 거래 명세표, 축산물 등급판정확인서, 수입신고필증(축산물, 수산물) 등 확인
※(참고) 등급판정서 확인 후 축산물품질평가원 (축산물원패스)에 등록 확인(소, 돼지, 닭, 오리, 계란)</x:t>
    </x:r>
  </x:si>
  <x:si>
    <x:t>5. 학생, 교직원, 학부모에게 식생활 관련 정보를 제공하는가?
  ‐ 간행물 및 학교 누리집 게시판 등을 이용한 정보제공 여부</x:t>
  </x:si>
  <x:si>
    <x:t>식재료 품질관리 기준에 부적합한 품질 및 수량, 원산지, 제조일 또는 소비기한, 납품온도 등 검수서 기록관리가 미흡한 경우</x:t>
  </x:si>
  <x:si>
    <x:t>• 식재료 원산지 표시제 운영 및 학교급식 영양량 표시제 시행
 ‐ 가정통신문 및 학교 누리집, 식사 장소 (식생활교육관, 교실) 등에 게시
※원산지표시법 제5조제3항 및 시행령 제3조 내지 제5조, 시행규칙 제3조 등 참조, 위반 시 과태료 부과 대상임
• 급식 사진 공개
 ‐ 학생에 제공되는 실제 급식 사진을 학교 누리집 등에 게시
※ 중식을 기준으로 확인(조･석식은 권장)</x:t>
  </x:si>
  <x:si>
    <x:t>용기,칼,도마,고무장갑 용도별 및 조리전ㆍ후 구분 사용 철저</x:t>
  </x:si>
  <x:si>
    <x:t>21. 조리장 내 온도 및 습도를 적정하게 관리하는지 여부</x:t>
  </x:si>
  <x:si>
    <x:t>10. 해동방법이 적절하고, 재냉동하여 사용하지 않는지 여부</x:t>
  </x:si>
  <x:si>
    <x:t>사용한 고무장갑은 별도로 모아두었다가 완전하게 세척, 소독 요망</x:t>
  </x:si>
  <x:si>
    <x:t>CP1과 CP2의 온도를 지속적으로 기록관리 하지 않는 경우</x:t>
  </x:si>
  <x:si>
    <x:t>34. 학교자체에서 일일 위생 점검을 실시하고 있는지 여부</x:t>
  </x:si>
  <x:si>
    <x:t>검수조도 개선 요망(저울 및 이동식 작업대 등 위치변경권고)</x:t>
  </x:si>
  <x:si>
    <x:t>CCP2 조리가 완료된 음식에 대해 온도 또는 시간관리 미흡</x:t>
  </x:si>
  <x:si>
    <x:t>법 제11조
시행령 
제2조,
 시행규칙 
제5조
(별표3)</x:t>
  </x:si>
  <x:si>
    <x:t xml:space="preserve">모든 싱크대의 배수관이 배수로와 연결 및 관리상태 양호(3점) </x:t>
  </x:si>
  <x:si>
    <x:t>손을 씻지 않거나 소독을 아니한 상태에서 조리작업을 하는 경우</x:t>
  </x:si>
  <x:si>
    <x:t>조리실 내･외부의 쓰레기통은 덮개 사용 등 주변 청결관리(3점)</x:t>
  </x:si>
  <x:si>
    <x:t xml:space="preserve">작업구역 미구분 및 작업대･ 세정대 등 분리사용 안 함(0점) </x:t>
  </x:si>
  <x:si>
    <x:t>• 학교예산서 및 지출서 확인, 예산편성 (또는 지출) 근거가 있으면 적정
 ‐ 학교급식법 제8조 및 동법 시행령 제9조에 의거 급식운영비 중 보일러 및 급식기구 등 시설･설비 유지비는 학교기본경비에서 지출(수익자부담 급식비에서 지출금지)
※ 인건비와 연료비, 소모품비 등의 경비는 학교운영위원회 심의를 거쳐 일부를 보호자에게 부담할 수 있으나, 최소화하도록 노력
※ 교직원 급식비는 학생 급식비 이상으로 부담(교직원과 학생 식단은 동일하게 운영)</x:t>
  </x:si>
  <x:si>
    <x:t>6. 식재료 검수 시 ｢학교급식 식재료의 품질 관리기준｣에 적합한 품질 및 신선도와 수량, 위생상태 등을 확인하여 기록하는지 여부</x:t>
  </x:si>
  <x:si>
    <x:t xml:space="preserve">학교급식종사자 전용 화장실이 있을 경우 청소와 관리 상태가 양호하며, 출입문이 조리실에 바로 면하지 않고, 환풍기 또는 환기창이 설치됨(2점) </x:t>
  </x:si>
  <x:si>
    <x:t>6. 학교급식 관련 설문 조사를 실시하고 그 결과를 공개하는가?
  ‐ 설문조사(인식도 등) 계획수립, 설문 실시, 결과 분석 후 조치 및 공개</x:t>
  </x:si>
  <x:si>
    <x:t xml:space="preserve">4. 식품취급 및 학교급식종사자는 6개월에 1회 건강진단을 실시하고, 그 기록을 2년간 보관하는지 여부(다만, 폐결핵 검사는 연 1회 검사 가능) </x:t>
  </x:si>
  <x:si>
    <x:t>13. 조리가 완료된 식품의 온도와 시간관리를 통하여 미생물 증식을 억제하는지 여부</x:t>
  </x:si>
  <x:si>
    <x:t>22. 식품보관실은 적정하게 설치되어 있으며, 소모품 보관실과 분리되어 있는지 여부</x:t>
  </x:si>
  <x:si>
    <x:t>11. 생으로 먹는 채소류, 과일류를 충분히 세척･소독하고 농도를 확인하는지 여부</x:t>
  </x:si>
  <x:si>
    <x:t>29. 학교급식종사자의 개인위생 준수여부 및 건강상태 확인 후 적절히 조치하는지 여부</x:t>
  </x:si>
  <x:si>
    <x:t xml:space="preserve">60cm 이하에서 식품 취급(운반 및 오염방지 시설이 설치된 경우는 제외)   </x:t>
  </x:si>
  <x:si>
    <x:t>3. 식품위생관계법령 위반으로 과태료 등 행정처분을 받았는지 여부(감점 10점)</x:t>
  </x:si>
  <x:si>
    <x:t>32. 조리실 내･외부의 쓰레기는 적정 처리하고 주변을 청결하게 관리하고 있는지 여부</x:t>
  </x:si>
  <x:si>
    <x:t>전처리실, 차단벽 설치(천장부 개방 공간) 등으로 일반작업과 청결작업구역 구분(3점)</x:t>
  </x:si>
  <x:si>
    <x:t>지하수 소독･살균 미실시, 상수도가 있음에도 지하수 사용
* 상수도 사용은 적합</x:t>
  </x:si>
  <x:si>
    <x:t>열, 증기 발생 시 즉시 배출되며, 응축수가 식품에 직접 떨어지지 않는 구조(3점)</x:t>
  </x:si>
  <x:si>
    <x:t>열, 증기배출이 다소 지연되나, 응축 수가 식품에 직접 떨어지지 않는 구조(1.5점)</x:t>
  </x:si>
  <x:si>
    <x:t xml:space="preserve">4. 학교급식 운영 계획의 수립 및 이행 상황을 학교운영위원회에 보고하고 있는가? </x:t>
  </x:si>
  <x:si>
    <x:t>18. 조리장의 시설(바닥 ･벽･천장 등)의 파손 및 고장난 설비･ 기구의 관리 여부</x:t>
  </x:si>
  <x:si>
    <x:t>3. 학교급식 관련 중요사항은 학교운영위원회 심의(자문)를 거쳐서 결정 하였는가?</x:t>
  </x:si>
  <x:si>
    <x:t>33. HACCP 적용에 대한 자체분석 후 협의를 거쳐서 적절한 개선조치를 취하고 있는지 여부</x:t>
  </x:si>
  <x:si>
    <x:t xml:space="preserve">24. 조리장 내 수세시설과 신발소독 시설은 적정하게 설치되어 있고 올바르게 사용하는지 여부
</x:t>
  </x:si>
  <x:si>
    <x:t>26. 조리장, 식품보관실, 식생활교육관(식당) 등의 방충･방서 설비 및 관리상태가 적정한지 여부</x:t>
  </x:si>
  <x:si>
    <x:t>4. 영양상담을 실시하고 있는가?
 ‐ 영양상담 계획수립, 상담대상자 관리, 영양상담 창구 운영 등</x:t>
  </x:si>
  <x:si>
    <x:r>
      <x:t>§</x:t>
    </x:r>
    <x:r>
      <x:rPr>
        <x:rFont val="굴림"/>
        <x:sz val="10"/>
        <x:color rgb="ff000000"/>
      </x:rPr>
      <x:t xml:space="preserve"> 학교급식 운영 계획 수립 여부
‐ 학교급식 운영계획에 아래의 사항 포함되었는지와 학교운영위원회 이행상황 보고 확인
‣급식운영계획, 영양·위생·식재료·작업·예산관리 및 식생활 지도 등의 포함 여부
‣학교운영위원회에 연1회 이상 이행 상황 보고 여부</x:t>
    </x:r>
  </x:si>
  <x:si>
    <x:t>5. 학교급식종사자들의 올바른 손씻기, 소독을 실시하여 손에 의한 오염이 일어나지 않도록 하는지 여부</x:t>
  </x:si>
  <x:si>
    <x:t>1. 급식시설･설비, 기구 등에 대한 청소 및 소독 계획을 수립･ 시행하여 항상 청결하게 관리하는지 여부</x:t>
  </x:si>
  <x:si>
    <x:t>2. 직전 점검 시 지도･권장 사항 항목 중 지적된 사항을  개선하였는지 여(1개 항목 당 감점 5점)</x:t>
  </x:si>
  <x:si>
    <x:t>8. 식품취급 등의 작업은 바닥으로부터 60cm 이상의 높이에서 실시하여 식품의 오염이 방지되는지 여부</x:t>
  </x:si>
  <x:si>
    <x:t>17. 일반작업구역과 청결작업구역으로 구분되어 식품취급 작업의 흐름이 교차되지 않는지 여부</x:t>
  </x:si>
  <x:si>
    <x:t>3. 조리용수로 수돗물이 아닌 지하수를 사용하는 경우 소독 또는 살균하여 사용하는지 여부</x:t>
  </x:si>
  <x:si>
    <x:t>냉･난방기 또는 공기조화시설 등을 갖추어 조리장 온도 및 습도를 적정하게 관리함(3점)</x:t>
  </x:si>
  <x:si>
    <x:t>운반 및 배식기구 등이 청결하지 않으며 배식 중 교차오염의 우려가 있으나 조치하지 않는 경우</x:t>
  </x:si>
  <x:si>
    <x:t>27. 급수설비의 적정성 및 이를 위생적으로 관리(수도전 위치, 수량 등) 하는지 여부</x:t>
  </x:si>
  <x:si>
    <x:t>작업구역은 구분되나, 공간부족으로 작업대, 세정대 등 구분사용 철저 요망</x:t>
  </x:si>
  <x:si>
    <x:t>CCP1 용도별 및 조리 전･후로 구분하여 사용하지 않고, 세척･소독 미실시</x:t>
  </x:si>
  <x:si>
    <x:t xml:space="preserve">학교급식
식재료 
원산지･영양량
표시제 시행 및 급식 메뉴
 사진 공개 </x:t>
  </x:si>
  <x:si>
    <x:t>식품을 직접 취급하는 자가 기한 내 건강진단 미실시, 2년간 기록 미보관</x:t>
  </x:si>
  <x:si>
    <x:t>30. 학교급식종사자를 대상으로 위생 교육을 정기적 으로 실시하는지 여부</x:t>
  </x:si>
  <x:si>
    <x:t>16. 식기구를 세척･ 소독 후 배식 전까지 위생적으로 보관･ 관리하는지 여부</x:t>
  </x:si>
  <x:si>
    <x:t>19. 검수장소및조리 작업장소(작업대･가스대･국솥 등)의 조도 기준 준수 여부</x:t>
  </x:si>
  <x:si>
    <x:t>적정용량 확보, 온도유지, 온도계 설치, 급식품외 보관하는 것 없음(3점)</x:t>
  </x:si>
  <x:si>
    <x:t>검수장소 540 lx,조리장(작업대 ･가스대･국솥등) 220 lx 이상(2점)</x:t>
  </x:si>
  <x:si>
    <x:t xml:space="preserve">25. 조리장 내 싱크대 등은 배수관이 배수로와 직접 연결되어 바닥을 오염시키지 않도록 조치하고 있는지 여부 </x:t>
  </x:si>
  <x:si>
    <x:t>식품보관실은 환풍기 또는 환기창이 설치되어 환기상태 적정, 소모품보관실 별도 설치 또는 공간구획 구분(3점)</x:t>
  </x:si>
  <x:si>
    <x:t>20. 조리장의 후드는 열 및 증기 발생 시 즉시 배출되고, 응축수가 식품에 직접 떨어지지 않는 구조인지 여부</x:t>
  </x:si>
  <x:si>
    <x:t>1. 직전 점검 시 학교급식 법령 준수사항 항목 중 지적된 사항을 개선하였는지 여부(1개 항목당 감점 10점)</x:t>
  </x:si>
  <x:si>
    <x:t>2. 냉장･냉동고의 온도, 식기세척기의 최종 헹굼수 온도 또는 식기소독보관고의 온도를 기록･관리 하는지 여부</x:t>
  </x:si>
  <x:si>
    <x:t>15. 조리된 식품에 대하여 조리완료 시 음식의 맛, 온도, 조화(영양적인 균형, 재료의 균형), 이물, 불쾌한 냄새, 조리상태 등을 확인하기 위한 검식을 실시하는지 여부</x:t>
  </x:si>
  <x:si>
    <x:t>7. 식재료나 조리과정에서 교차오염을 방지하기 위하여 칼과 도마, 고무장갑 등 조리기구 및 용기를 용도별 및 조리 전･후로 구분하여 사용하고, 적절히 세척･소독하는지 여부</x:t>
  </x:si>
  <x:si>
    <x:t xml:space="preserve">23. 학교급식종사자 전용 화장실이 있으며, 청소와 관리상태가 양호하고,  출입문이 조리실에 바로 면하지 않고, 화장실 내 환풍기 또는 환기창이 설치되어 있는지 여부 </x:t>
  </x:si>
  <x:si>
    <x:t>9. 조리가 완료된 식품과 세척･소독된 배식기구･용기 등은 교차오염 우려가 있는 기구･용기 또는 식재료 등과 접촉에 의해 오염되지 않도록 관리하는지 여부</x:t>
  </x:si>
  <x:si>
    <x:t>7. 학교 공통운영비에 학교 급식 시설･설비의 유지 및 개선비 등 예산이 확보되어 있는가?
  ‐ 학교설립･경영자가 부담할 예산의 적정한 확보 및 집행 여부</x:t>
  </x:si>
  <x:si>
    <x:t>12. 가열조리 식품의 중심부가 75℃ (패류는 85℃) 이상에서 1분 이상 가열되고 있는지 온도계로 확인하고, 그 온도 적정여부를 기록･유지하는지 여부</x:t>
  </x:si>
  <x:si>
    <x:t>"해동중" 표시 미부착</x:t>
  </x:si>
  <x:si>
    <x:t>점검결과
(적정, 미흡)</x:t>
  </x:si>
  <x:si>
    <x:t>CP2 소독액 농도 준수</x:t>
  </x:si>
  <x:si>
    <x:t>소독 전,후 세척 관리 미흡</x:t>
  </x:si>
  <x:si>
    <x:t xml:space="preserve">CCP 및 CP 점검
</x:t>
  </x:si>
  <x:si>
    <x:t>손세정대 온수 연결 요망</x:t>
  </x:si>
  <x:si>
    <x:t>평가결과
(적합, 부적합)</x:t>
  </x:si>
  <x:si>
    <x:t>배기후드 유지거름망 미설치</x:t>
  </x:si>
  <x:si>
    <x:t>방충망없는 환풍기 교체 요망</x:t>
  </x:si>
  <x:si>
    <x:t>식기구 덮개 보관 미흡</x:t>
  </x:si>
  <x:si>
    <x:t>식생활지도 
및영양상담</x:t>
  </x:si>
  <x:si>
    <x:t>집   단
급식소
신고번호</x:t>
  </x:si>
  <x:si>
    <x:t xml:space="preserve">모든 기준 미달 (0점) </x:t>
  </x:si>
  <x:si>
    <x:t>화장실 전반적 위생관리 미흡</x:t>
  </x:si>
  <x:si>
    <x:t>모든 기준 미달 (0점)</x:t>
  </x:si>
  <x:si>
    <x:t>구체적인 검식기록 작성 요망</x:t>
  </x:si>
  <x:si>
    <x:t>수리의뢰중(list기재)</x:t>
  </x:si>
  <x:si>
    <x:t>손세정대 추가 설치 요망</x:t>
  </x:si>
  <x:si>
    <x:t>일부 미착용(1.5점)</x:t>
  </x:si>
  <x:si>
    <x:t>일부 기준 미흡 (1.5점)</x:t>
  </x:si>
  <x:si>
    <x:t>오븐기 트레이 상단부터 적재</x:t>
  </x:si>
  <x:si>
    <x:t>올바른 손씻기교육 요망</x:t>
  </x:si>
  <x:si>
    <x:t>작업구역 미구분(세척실)</x:t>
  </x:si>
  <x:si>
    <x:t>일부 교육 누락 및 미실시(0점)</x:t>
  </x:si>
  <x:si>
    <x:t>작업전 건강확인 후 적정관리 철저</x:t>
  </x:si>
  <x:si>
    <x:t>쌍방향급식게시판, 학부모교직원 교육</x:t>
  </x:si>
  <x:si>
    <x:t>(              )</x:t>
  </x:si>
  <x:si>
    <x:t>지도 사항을 상세히 기재해 주세요!</x:t>
  </x:si>
  <x:si>
    <x:t>조리장의 온･습도관리 미흡(0점)</x:t>
  </x:si>
  <x:si>
    <x:t>식재료 품질관리기준 준수 요망</x:t>
  </x:si>
  <x:si>
    <x:t>식품위생법령에 따른 위생교육 미이수</x:t>
  </x:si>
  <x:si>
    <x:t>CP2 기준수립 및 농도확인 철저</x:t>
  </x:si>
  <x:si>
    <x:t>품질 및 
안전을 
위한
준수
사항</x:t>
  </x:si>
  <x:si>
    <x:t>배기휀 고장 또는 환기불량(0점)</x:t>
  </x:si>
  <x:si>
    <x:t>호스 바닥에 닫지 않도록 사용 요망</x:t>
  </x:si>
  <x:si>
    <x:t>양념운반카 60cm 하단보관 지양</x:t>
  </x:si>
  <x:si>
    <x:t>작업 중 적정 시점 손세척 철저</x:t>
  </x:si>
  <x:si>
    <x:t>후드 뒷편 천정 마감 보수 요망</x:t>
  </x:si>
  <x:si>
    <x:t>트렌치 및 주변타일 파손 보수 요망</x:t>
  </x:si>
  <x:si>
    <x:t>점검미실시 또는 기록 미유지(0점)</x:t>
  </x:si>
  <x:si>
    <x:t>자체분석 및 개선조치 미이행(0점)</x:t>
  </x:si>
  <x:si>
    <x:t>batch 당 온도 확인 철저</x:t>
  </x:si>
  <x:si>
    <x:t>소쿠리운반카 배수관 연결 요망</x:t>
  </x:si>
  <x:si>
    <x:t>60cm 이하 식기구 보관 지양</x:t>
  </x:si>
  <x:si>
    <x:t>종사자 월별 위생교육 실시 철저</x:t>
  </x:si>
  <x:si>
    <x:t>위생복장 청결 관리 철저 요망</x:t>
  </x:si>
  <x:si>
    <x:t>워크인냉장고 60cm 하단보관 지양</x:t>
  </x:si>
  <x:si>
    <x:t>(2) 학교급식 지도 및 권장사항</x:t>
  </x:si>
  <x:si>
    <x:t>중점 확인사항
(주요 평가 기준)</x:t>
  </x:si>
  <x:si>
    <x:t>소쿠리운반카 배수관 길이 조정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</x:si>
  <x:si>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Wingdings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Wingdings"/>
            <x:sz val="10"/>
            <x:color rgb="ff000000"/>
            <x:b val="1"/>
          </x:rPr>
        </mc:Fallback>
      </mc:AlternateContent>
      <x:t>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  <x:b val="1"/>
          </x:rPr>
        </mc:Fallback>
      </mc:AlternateContent>
      <x:t xml:space="preserve"> 학교급식 위생관리 기준 준수사항</x:t>
    </x:r>
  </x:si>
  <x:si>
    <x:t>화장실이 조리실과 직접 면하고 있음</x:t>
  </x:si>
  <x:si>
    <x:t xml:space="preserve">[학교 자체점검 사항]       </x:t>
  </x:si>
  <x:si>
    <x:t>조리실 바닥, 외부에 구멍 있음</x:t>
  </x:si>
  <x:si>
    <x:t>소쿠리운반카 배수관 벨브 사용 철저</x:t>
  </x:si>
  <x:si>
    <x:t>올바른 손씻기매뉴얼 부착 요망</x:t>
  </x:si>
  <x:si>
    <x:t>모든 배식자가 위생복장(앞치마, 위생모, 마스크 등) 착용(3점)</x:t>
  </x:si>
  <x:si>
    <x:t>시설 파손(경미) 또는 고장난 설비･기구 있음(수리의뢰)(1.5점)</x:t>
  </x:si>
  <x:si>
    <x:t xml:space="preserve">5. 품질 및 안전을 위하여 필요한 준수사항을 지키고 있는가? 
</x:t>
  </x:si>
  <x:si>
    <x:t>작업구역은 미 구분되나 작업대･ 세정대 등 분리 사용 (1.5점)</x:t>
  </x:si>
  <x:si>
    <x:t>일부 배수관이 배수로와 연결되지 않았거나 관리상태 미흡(1.5점)</x:t>
  </x:si>
  <x:si>
    <x:t>조리완료된 식품 및 배식기구 등의 위생적 보관관리 상태가 미흡한 경우</x:t>
  </x:si>
  <x:si>
    <x:t>작업 전 개인위생 관리 및 건강확인(소화기질환 및 손 상처자) (3점)</x:t>
  </x:si>
  <x:si>
    <x:t>손세정대 물비누, 손톱솔, 알코올, 핸드타올 및 쓰레기통 비치 요망</x:t>
  </x:si>
  <x:si>
    <x:t>성명)</x:t>
  </x:si>
  <x:si>
    <x:t>보통</x:t>
  </x:si>
  <x:si>
    <x:t>A</x:t>
  </x:si>
  <x:si>
    <x:t>기타</x:t>
  </x:si>
  <x:si>
    <x:t>□</x:t>
  </x:si>
  <x:si>
    <x:t>등급</x:t>
  </x:si>
  <x:si>
    <x:t>영양사</x:t>
  </x:si>
  <x:si>
    <x:t>☑</x:t>
  </x:si>
  <x:si>
    <x:t>조리원</x:t>
  </x:si>
  <x:si>
    <x:t>○</x:t>
  </x:si>
  <x:si>
    <x:t>학급수</x:t>
  </x:si>
  <x:si>
    <x:t>학교명</x:t>
  </x:si>
  <x:si>
    <x:t>미흡</x:t>
  </x:si>
  <x:si>
    <x:t>적합</x:t>
  </x:si>
  <x:si>
    <x:t>교실</x:t>
  </x:si>
  <x:si>
    <x:t>항목</x:t>
  </x:si>
  <x:si>
    <x:t/>
  </x:si>
  <x:si>
    <x:t>저녁</x:t>
  </x:si>
  <x:si>
    <x:t>구분</x:t>
  </x:si>
  <x:si>
    <x:t>구 분</x:t>
  </x:si>
  <x:si>
    <x:t>교감</x:t>
  </x:si>
  <x:si>
    <x:t>점심</x:t>
  </x:si>
  <x:si>
    <x:t>아침</x:t>
  </x:si>
  <x:si>
    <x:t>평점</x:t>
  </x:si>
  <x:si>
    <x:t>배
식</x:t>
  </x:si>
  <x:si>
    <x:t>병행</x:t>
  </x:si>
  <x:si>
    <x:t>직급)</x:t>
  </x:si>
  <x:si>
    <x:t>부적합</x:t>
  </x:si>
  <x:si>
    <x:t>교장</x:t>
  </x:si>
  <x:si>
    <x:t>계</x:t>
  </x:si>
  <x:si>
    <x:t>우수</x:t>
  </x:si>
  <x:si>
    <x:t>점)</x:t>
  </x:si>
  <x:si>
    <x:t>소속)</x:t>
  </x:si>
  <x:si>
    <x:t>자체</x:t>
  </x:si>
  <x:si>
    <x:t>비고</x:t>
  </x:si>
  <x:si>
    <x:t>학생수</x:t>
  </x:si>
  <x:si>
    <x:t>교특</x:t>
  </x:si>
  <x:si>
    <x:t>적정</x:t>
  </x:si>
  <x:si>
    <x:t>소모품 분리 보관 미흡</x:t>
  </x:si>
  <x:si>
    <x:t>학교운영
위원회 
심의</x:t>
  </x:si>
  <x:si>
    <x:t>CCP1 소독액 농도 준수</x:t>
  </x:si>
  <x:si>
    <x:t>CP1 온도기록 시간 조정</x:t>
  </x:si>
  <x:si>
    <x:t>2026   .   .</x:t>
  </x:si>
  <x:si>
    <x:t>조도개선요망(list기재)</x:t>
  </x:si>
  <x:si>
    <x:t>일부 기준 미흡(1.5점)</x:t>
  </x:si>
  <x:si>
    <x:t>작업구역 미구분(전처리실)</x:t>
  </x:si>
  <x:si>
    <x:t>1일 위생점검 실시 요망</x:t>
  </x:si>
  <x:si>
    <x:t xml:space="preserve"> ▣ 평가항목 : 5개</x:t>
  </x:si>
  <x:si>
    <x:t>점검실시 및 기록유지(3점)</x:t>
  </x:si>
  <x:si>
    <x:t>일부 기준 미흡(1점)</x:t>
  </x:si>
  <x:si>
    <x:t>60cm 하단 식품취급 지양</x:t>
  </x:si>
  <x:si>
    <x:t>학교급식
운영계획
수립</x:t>
  </x:si>
  <x:si>
    <x:t>CP 1 온도관리 철저</x:t>
  </x:si>
  <x:si>
    <x:t>신발소독시설 적정 사용 요망</x:t>
  </x:si>
  <x:si>
    <x:t>3. 위생관리 점검결과 :</x:t>
  </x:si>
  <x:si>
    <x:t>소비기한 경과 식재료 보관</x:t>
  </x:si>
  <x:si>
    <x:t>관리실태 불량 (0점)</x:t>
  </x:si>
  <x:si>
    <x:t>위탁구분
(위탁업체명)</x:t>
  </x:si>
  <x:si>
    <x:t>위반․
지적사항 이행여부</x:t>
  </x:si>
  <x:si>
    <x:t>식당 방충시설 설치 요망</x:t>
  </x:si>
  <x:si>
    <x:t>방충문 실질적 사용 철저</x:t>
  </x:si>
  <x:si>
    <x:t>냉장고 적정용량 확보 요망</x:t>
  </x:si>
  <x:si>
    <x:t>영양교사
·영양사(성명)</x:t>
  </x:si>
  <x:si>
    <x:t>냉동식품 적정 해동 요망</x:t>
  </x:si>
  <x:si>
    <x:t>조리원 전용 화장실 미설치</x:t>
  </x:si>
  <x:si>
    <x:t>식재료 보관시 덮개 미사용</x:t>
  </x:si>
  <x:si>
    <x:t>식품보관실 환기시설 없음</x:t>
  </x:si>
  <x:si>
    <x:t>• 식품안전 및 영양･식생활 교육계획을 학교 교육운영계획에 반영 및 이행
 ‐ (내용) 고열량･저영양 식품의 안전과 영양, 식품위생, 식중독 예방, 불량식품 식별요령 및 안 사먹기, 나트륨 줄이기, 전통 식문화, 편식 교정, 식사 예절, 잔반 안 남기기 등
 ‐ (방법) 영양교사는 관련 교과 및 창의적 체험활동 시간 등을 활용하여 월 2회 이상 실시하고 급식일지 등에 기록(입력) 3년간 보관
※ 영양사가 배치된 학교의 경우 급식 시간 등을 활용하여 영양･식생활 지도
※ 누리집, 가정통신문, 급식 게시판, 영양상담 등을 통하여 학생 지도 및 가정(학부모) 연계 교육도 권장 
※ 식품 안전, 영양･식생활 교육 및 지도를 위한 예산을 학교 운영비에 편성 권장</x:t>
  </x:si>
  <x:si>
    <x:r>
      <x:t xml:space="preserve">학교운영위원회심의자료,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ff0000"/>
          </x:rPr>
        </mc:Fallback>
      </mc:AlternateContent>
      <x:t>표준레시피</x:t>
    </x:r>
  </x:si>
  <x:si>
    <x:t>CCP별 점검결과 및 조치사항 이행 요망(학기1회)</x:t>
  </x:si>
  <x:si>
    <x:t>HACCP 적용에 대한 자체분석 후 적절한 조치(3점)</x:t>
  </x:si>
  <x:si>
    <x:t>4. 학교급식 식중독이 발생하였는지 여부 (감점 10점)</x:t>
  </x:si>
  <x:si>
    <x:t>31. 배식 시 위생복장을 적정하게 착용하는지 여부</x:t>
  </x:si>
  <x:si>
    <x:t>냉동식품을 부적절한 방법(실온방치 등)으로 해동하는 경우</x:t>
  </x:si>
  <x:si>
    <x:t>출입문･창문에 일부 미설치 또는 관리상태 미흡(1.5점)</x:t>
  </x:si>
  <x:si>
    <x:t>출입문관리 철저(화장실이 조리실과 실제로 면하게 사용)</x:t>
  </x:si>
  <x:si>
    <x:t>덮개 미사용 등 주변 청결관리 일부 미흡(1.5점)</x:t>
  </x:si>
  <x:si>
    <x:t>시설 파손(여러곳) 또는 고장난 설비･기구 방치(0점)</x:t>
  </x:si>
  <x:si>
    <x:t>1. 학교급식 식재료의 품질관리기준을 준수하고 있는가?</x:t>
  </x:si>
  <x:si>
    <x:t>작업구역 미구분, 작업대, 세정대 등 구분사용 철저 요망</x:t>
  </x:si>
  <x:si>
    <x:t xml:space="preserve"> ▣ 평가항목 : 4개 항목(해당 항목 부접합 시 감점)</x:t>
  </x:si>
  <x:si>
    <x:t>조리실 내 기기ㆍ기구별 청결관리 철저(list기재)</x:t>
  </x:si>
  <x:si>
    <x:t>※ 평점, 비고 - 목록선택, 직접 작성 모두 가능</x:t>
  </x:si>
  <x:si>
    <x:t>22조리장 내 온도 및 습도를 적정하게 관리하는지 여부</x:t>
  </x:si>
  <x:si>
    <x:t>검식을 지속적으로 실시하지 않거나 기록하지 않은 경우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</x:si>
  <x:si>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ff0000"/>
            <x:b val="1"/>
          </x:rPr>
        </mc:Fallback>
      </mc:AlternateContent>
      <x:t xml:space="preserve">식품비사용비율공개, 알레르기유발식품표시제, 월별식단표 </x:t>
    </x:r>
  </x:si>
  <x:si>
    <x:t>배기후드 응축수맺힘(응축수가식품에직접떨어지는절개구조)</x:t>
  </x:si>
  <x:si>
    <x:t xml:space="preserve">출입문･창문에 모두 설치 및 관리상태 우수(3점) </x:t>
  </x:si>
  <x:si>
    <x:t xml:space="preserve"> ▣ 점검항목 : 16개(적합 3점, 부적합 0점)  </x:t>
  </x:si>
  <x:si>
    <x:t>식단검토 및 검수</x:t>
  </x:si>
  <x:si>
    <x:t>식재료
품질
관리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</x:si>
  <x:si>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Wingdings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Wingdings"/>
            <x:sz val="10"/>
            <x:color rgb="ff000000"/>
            <x:b val="1"/>
          </x:rPr>
        </mc:Fallback>
      </mc:AlternateContent>
      <x:t>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  <x:b val="1"/>
          </x:rPr>
        </mc:Fallback>
      </mc:AlternateContent>
      <x:t xml:space="preserve"> 지도 및 권장사항</x:t>
    </x:r>
  </x:si>
  <x:si>
    <x:t>워터릴 사용 철저</x:t>
  </x:si>
  <x:si>
    <x:t>복수검수 미실시</x:t>
  </x:si>
  <x:si>
    <x:t>평가 점검 내용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</x:si>
  <x:si>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ff0000"/>
            <x:b val="1"/>
          </x:rPr>
        </mc:Fallback>
      </mc:AlternateContent>
      <x:t>소모품 및 경비</x:t>
    </x:r>
  </x:si>
  <x:si>
    <x:t xml:space="preserve">학교급식 설문조사 </x:t>
  </x:si>
  <x:si>
    <x:t>지적내용 및 조치사항</x:t>
  </x:si>
  <x:si>
    <x:t>조리사
(성명)</x:t>
  </x:si>
  <x:si>
    <x:t>위생복장 착용 철저</x:t>
  </x:si>
  <x:si>
    <x:t>배
식
및
검
식</x:t>
  </x:si>
  <x:si>
    <x:t>냉동식품 실온방치</x:t>
  </x:si>
  <x:si>
    <x:t>천장텍스 떨어짐</x:t>
  </x:si>
  <x:si>
    <x:t>방충문 보수 요망</x:t>
  </x:si>
  <x:si>
    <x:t>온습도계 미비치</x:t>
  </x:si>
  <x:si>
    <x:t>해당 사항 없음</x:t>
  </x:si>
  <x:si>
    <x:t>필요약품 구비 요망</x:t>
  </x:si>
  <x:si>
    <x:t>주당
급식
일수</x:t>
  </x:si>
  <x:si>
    <x:t>에어커튼 사용 철저</x:t>
  </x:si>
  <x:si>
    <x:t>학교급식 운영평가표</x:t>
  </x:si>
  <x:si>
    <x:t xml:space="preserve">수요자의견
반영 </x:t>
  </x:si>
  <x:si>
    <x:t>H
A
C
C
P</x:t>
  </x:si>
  <x:si>
    <x:t>시행령 
제2조</x:t>
  </x:si>
  <x:si>
    <x:t>냉장고 선반 부식</x:t>
  </x:si>
  <x:si>
    <x:t>대면검수 미실시</x:t>
  </x:si>
  <x:si>
    <x:t>모두 미착용 (0점)</x:t>
  </x:si>
  <x:si>
    <x:t>급식품외 보관 금지</x:t>
  </x:si>
  <x:si>
    <x:t>식생활교육관(식당)</x:t>
  </x:si>
  <x:si>
    <x:t>외부 온도계 미설치</x:t>
  </x:si>
  <x:si>
    <x:t>검수온도 기재 철저</x:t>
  </x:si>
  <x:si>
    <x:t>배수관 연결 미흡</x:t>
  </x:si>
  <x:si>
    <x:t>식
재
료
관
리</x:t>
  </x:si>
  <x:si>
    <x:t>작업구역 미구분</x:t>
  </x:si>
  <x:si>
    <x:t>냉난방기 용량 부족</x:t>
  </x:si>
  <x:si>
    <x:t>식기구 청결상태 미흡</x:t>
  </x:si>
  <x:si>
    <x:t xml:space="preserve">확 인 자 : </x:t>
  </x:si>
  <x:si>
    <x:t>2. 급식운영 현황</x:t>
  </x:si>
  <x:si>
    <x:t>학교장
성   명</x:t>
  </x:si>
  <x:si>
    <x:t>학교급식 위생점검표</x:t>
  </x:si>
  <x:si>
    <x:t>세
척
및
소
독</x:t>
  </x:si>
  <x:si>
    <x:t>시행규칙 
제7조</x:t>
  </x:si>
  <x:si>
    <x:t>청소계획 보완 요망</x:t>
  </x:si>
  <x:si>
    <x:t>보존식 보관 미흡</x:t>
  </x:si>
  <x:si>
    <x:t>축산물등급판정확인서</x:t>
  </x:si>
  <x:si>
    <x:t xml:space="preserve">점 검 자 : </x:t>
  </x:si>
  <x:si>
    <x:t>환
경
위
생
관
리</x:t>
  </x:si>
  <x:si>
    <x:t>CCP/CP 기록지</x:t>
  </x:si>
  <x:si>
    <x:r>
      <x:t>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  <x:b val="1"/>
          </x:rPr>
        </mc:Fallback>
      </mc:AlternateContent>
      <x:t xml:space="preserve"> 특이(건의)사항</x:t>
    </x:r>
  </x:si>
  <x:si>
    <x:r>
      <x:t>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  <x:b val="1"/>
          </x:rPr>
        </mc:Fallback>
      </mc:AlternateContent>
      <x:t xml:space="preserve"> 우수(모범)사례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</x:si>
  <x:si>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Wingding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Wingdings"/>
            <x:sz val="10"/>
            <x:color rgb="ff000000"/>
          </x:rPr>
        </mc:Fallback>
      </mc:AlternateContent>
      <x:t>§</x:t>
    </x:r>
    <x:r>
      <x:rPr>
        <x:rFont val="굴림"/>
        <x:sz val="10"/>
        <x:color rgb="ff000000"/>
      </x:rPr>
      <x:t xml:space="preserve"> 품질 및 안전을 위한 준수사항 이행 여부
 -학기별 보호자부담 급식비 중 식품비 사용 비율 공개
※학교운영위원회 또는 누리집 등을 통해 공개
 -학교급식일지, 검수일지 및 거래 명세표 작성･비치･ 보관 여부
※동 서류는 3년 이상 보관
※급식일지와 검수일지의 경우는 반드시 결재를 득하여야 함(학교별 전결 규정 준수)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Wingding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Wingdings"/>
            <x:sz val="10"/>
            <x:color rgb="ff000000"/>
          </x:rPr>
        </mc:Fallback>
      </mc:AlternateContent>
      <x:t>§</x:t>
    </x:r>
    <x:r>
      <x:rPr>
        <x:rFont val="굴림"/>
        <x:sz val="10"/>
        <x:color rgb="ff000000"/>
      </x:rPr>
      <x:t xml:space="preserve"> 알레르기 유발 식품*을 사용하는 경우 공지 및 표시 이행 여부
 ‐ 알레르기를 유발할 수 있는 식재료가 표시된 월간식단표를 가정통신문으로 안내하고 학교 누리집에 게재
 ‐ 동 내용이 표시된 주간식단표를 식사 장소(식생활교육관, 교실)에 게시
* 식품표시광고법 시행규칙 제5조제1항 및 별표2에 규정
※학교의 식사장소(식생활교육관, 교실)에는 주간식단표를 게시하는 것이 바람직하나, 
- 입법 취지 및 학교의 다양한 여건 등을 고려할 때 학생 및 교직원이 월간식단표를 통해서 알레르기 정보를 쉽게 확인할 수 있는 경우에는 갈음 가능</x:t>
    </x:r>
  </x:si>
  <x:si>
    <x:t xml:space="preserve">위생·HACCP교육
</x:t>
  </x:si>
  <x:si>
    <x:t>주요내용</x:t>
  </x:si>
  <x:si>
    <x:t>안
전
관
리</x:t>
  </x:si>
  <x:si>
    <x:t>(서명)</x:t>
  </x:si>
  <x:si>
    <x:t xml:space="preserve">영양상담 </x:t>
  </x:si>
  <x:si>
    <x:t>일일위생점검</x:t>
  </x:si>
  <x:si>
    <x:t>점검내용</x:t>
  </x:si>
  <x:si>
    <x:t>영양
관리</x:t>
  </x:si>
  <x:si>
    <x:t>평가내용</x:t>
  </x:si>
  <x:si>
    <x:t>1. 학교현황</x:t>
  </x:si>
  <x:si>
    <x:t>설립
유형</x:t>
  </x:si>
  <x:si>
    <x:t>시
설
관
리</x:t>
  </x:si>
  <x:si>
    <x:t>표준레시피</x:t>
  </x:si>
  <x:si>
    <x:t>점 검 항 목</x:t>
  </x:si>
  <x:si>
    <x:t>운영방식</x:t>
  </x:si>
  <x:si>
    <x:t>평가
항목</x:t>
  </x:si>
  <x:si>
    <x:t>개
인
위
생</x:t>
  </x:si>
  <x:si>
    <x:t>식단관리</x:t>
  </x:si>
  <x:si>
    <x:t xml:space="preserve">점검일자 : </x:t>
  </x:si>
  <x:si>
    <x:t>관련
법규</x:t>
  </x:si>
  <x:si>
    <x:t>학교급식종사자</x:t>
  </x:si>
  <x:si>
    <x:t>점검 항목별</x:t>
  </x:si>
  <x:si>
    <x:t>(감점:</x:t>
  </x:si>
  <x:si>
    <x:t>교직원수</x:t>
  </x:si>
  <x:si>
    <x:t>급식인원</x:t>
  </x:si>
  <x:si>
    <x:t>건조관리 철저</x:t>
  </x:si>
  <x:si>
    <x:t>시행령 
4조</x:t>
  </x:si>
  <x:si>
    <x:t>(평점:</x:t>
  </x:si>
  <x:si>
    <x:t>학교
직영</x:t>
  </x:si>
  <x:si>
    <x:t>영양교사</x:t>
  </x:si>
  <x:si>
    <x:t>작
업
위
생</x:t>
  </x:si>
  <x:si>
    <x:t>평가항목</x:t>
  </x:si>
  <x:si>
    <x:t>복도배식 지양</x:t>
  </x:si>
  <x:si>
    <x:t>환기관리 미흡</x:t>
  </x:si>
  <x:si>
    <x:t>행정실장</x:t>
  </x:si>
  <x:si>
    <x:t>점검기준</x:t>
  </x:si>
  <x:si>
    <x:t>배식방법</x:t>
  </x:si>
  <x:si>
    <x:t>급식경비
관리</x:t>
  </x:si>
  <x:si>
    <x:t>조리장 누수</x:t>
  </x:si>
  <x:si>
    <x:t>총점(출력X)</x:t>
  </x:si>
  <x:si>
    <x:t xml:space="preserve">일일위생점검
건강문진동의서(보건증X)
</x:t>
  </x:si>
  <x:si>
    <x:t>학교급식운영계획서, 학교운영위원회심의자료</x:t>
  </x:si>
  <x:si>
    <x:t>검식기록 급식후 1주일 이내 작성 요망</x:t>
  </x:si>
  <x:si>
    <x:t>앞치마, 고무장갑, 용기 세척ㆍ소독 철저</x:t>
  </x:si>
  <x:si>
    <x:t>조리장의 온･습도관리 보통(1.5점)</x:t>
  </x:si>
  <x:si>
    <x:t>밑간 해놓은 식재료 상온에 뚜껑 없이 방치</x:t>
  </x:si>
  <x:si>
    <x:t>부적합 기준
(적합 3점, 부적합 0점)</x:t>
  </x:si>
  <x:si>
    <x:t>조리완료식품과 원재료 동일 공간 작업 지양</x:t>
  </x:si>
  <x:si>
    <x:t xml:space="preserve">[학교급식법령 준수사항]       </x:t>
  </x:si>
  <x:si>
    <x:t>CCP1 충분한 세척 및 소독 미실시</x:t>
  </x:si>
  <x:si>
    <x:t>소독된 배식기구 오염되지 않도록 관리 요망</x:t>
  </x:si>
  <x:si>
    <x:t>식재료 품질관리기준 표기 요망(검수서적요)</x:t>
  </x:si>
  <x:si>
    <x:t>최종문 에어커튼, 방충문 모두 설치 요망</x:t>
  </x:si>
  <x:si>
    <x:t>내ㆍ외부 덮개 있는 쓰레기통 사용 요망</x:t>
  </x:si>
  <x:si>
    <x:t>후드 응축수 밸브 미설치 또는 미사용</x:t>
  </x:si>
  <x:si>
    <x:t>세정대 (물넘침구) 배수관 연결 요망</x:t>
  </x:si>
  <x:si>
    <x:t>모든 작업공간의 조도가 기준 미달(0점)</x:t>
  </x:si>
  <x:si>
    <x:t>벽타일, 천정, 바닥타일 파손 보수 요망</x:t>
  </x:si>
  <x:si>
    <x:t>신발소독시설 적정설치 및 농도준수 요망</x:t>
  </x:si>
  <x:si>
    <x:t>국보온카 등 배식기구 조리시 이용 지양</x:t>
  </x:si>
  <x:si>
    <x:t>조리완료식품 플라스틱 소쿠리 사용 금지</x:t>
  </x:si>
  <x:si>
    <x:t>법 제10조
시행규칙 
제4조
(별표2)</x:t>
  </x:si>
  <x:si>
    <x:t>내부쓰레기 즉시처리 및 덮개사용 철저</x:t>
  </x:si>
  <x:si>
    <x:t>쓰레기통 내외부 및 주변 청결관리 미흡</x:t>
  </x:si>
  <x:si>
    <x:t>앞치마 조리전ㆍ후ㆍ청소용 구분사용 철저</x:t>
  </x:si>
  <x:si>
    <x:t>호스가 식재료에 닿거나 물에 잠기게 사용</x:t>
  </x:si>
  <x:si>
    <x:t>점검척도 및 평가결과 &lt; □에 ∨표 &gt;</x:t>
  </x:si>
  <x:si>
    <x:t>(1) 학교급식 위생관리기준 준수사항</x:t>
  </x:si>
  <x:si>
    <x:t>CCP1 충분히 침지하도록 관리 요망</x:t>
  </x:si>
  <x:si>
    <x:t>CCP1 5분 침지 타이머 사용 권장</x:t>
  </x:si>
  <x:si>
    <x:t>CCP 1 현장기록 및 온도확인 철저</x:t>
  </x:si>
  <x:si>
    <x:t xml:space="preserve">청소･소독계획 미 수립 및 청결상태 불량 </x:t>
  </x:si>
  <x:si>
    <x:t>6개월 1회 건강진단 기간 준수 요망</x:t>
  </x:si>
  <x:si>
    <x:t>배식차, 엘리베이터 세척, 소독 관리 미흡</x:t>
  </x:si>
  <x:si>
    <x:t>5. 우수(모범)사례 및 특이(건의)사항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</x:si>
  <x:si>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Wingdings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Wingdings"/>
            <x:sz val="10"/>
            <x:color rgb="ff000000"/>
            <x:b val="1"/>
          </x:rPr>
        </mc:Fallback>
      </mc:AlternateContent>
      <x:t>§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000000"/>
            <x:b val="1"/>
          </x:rPr>
        </mc:Fallback>
      </mc:AlternateContent>
      <x:t xml:space="preserve"> 직전 위생점검 지적사항
  개선 여부 등</x:t>
    </x:r>
  </x:si>
  <x:si>
    <x:t>시설 파손 및 고장난 설비･기구 없음(3점)</x:t>
  </x:si>
  <x:si>
    <x:t>일회용 비닐장갑으로 조리완료음식 직접 배식 금지</x:t>
  </x:si>
  <x:si>
    <x:t>손톱솔 비치 및 사용 등 올바른 손씻기 철저</x:t>
  </x:si>
  <x:si>
    <x:t>(3) 직전 위생점검 지적사항 개선여부 사항 등</x:t>
  </x:si>
  <x:si>
    <x:t>학교운영위원회심의자료,학교급식운영계획서 ,우유</x:t>
  </x:si>
  <x:si>
    <x:t>조리과정 중 기구 세척으로 인한 교차오염 발생</x:t>
  </x:si>
  <x:si>
    <x:t>[학교 관리번호 :              ]</x:t>
  </x:si>
  <x:si>
    <x:t xml:space="preserve"> ▣ 배점 : 18개 항목 × (2~3점)  </x:t>
  </x:si>
  <x:si>
    <x:t xml:space="preserve">CCP1 중심온도 미측정 및 지속적 기록 미실시
</x:t>
  </x:si>
  <x:si>
    <x:t>학교급식종사자에 대한 정기적 교육 실시(3점)</x:t>
  </x:si>
  <x:si>
    <x:t>식재료 보관방법 미흡(바닥에서 15cm이상)</x:t>
  </x:si>
  <x:si>
    <x:t>배식시 위생복장(마스크 등) 적정 착용 요망</x:t>
  </x:si>
  <x:si>
    <x:t xml:space="preserve">일부 작업 공간의 조도가 기준 미달 (1점) </x:t>
  </x:si>
  <x:si>
    <x:t>4. 점검항목 및 내용 : 붙임 점검표와 같음</x:t>
  </x:si>
  <x:si>
    <x:t>식기구의 세척, 소독 및 위생적인 보관관리 미흡</x:t>
  </x:si>
  <x:si>
    <x:t>자체분석은 실시, 적절한 조치 미흡(1.5점)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</x:si>
  <x:si>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ff0000"/>
            <x:b val="1"/>
          </x:rPr>
        </mc:Fallback>
      </mc:AlternateContent>
      <x:t>영양식생활교육계획, 영양식생활교육, 정규교육과정</x:t>
    </x:r>
  </x:si>
  <x:si>
    <x:t>2. 학교급식의 영양관리 기준을 준수하고 있는가?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</x:si>
  <x:si>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ff0000"/>
            <x:b val="1"/>
          </x:rPr>
        </mc:Fallback>
      </mc:AlternateContent>
      <x:t>원산지 및 영양표시제,</x:t>
    </x:r>
    <x:r>
      <x:rPr>
        <x:rFont val="굴림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0"/>
            <x:color rgb="ffff0000"/>
            <x:b val="1"/>
          </x:rPr>
        </mc:Fallback>
      </mc:AlternateContent>
      <x:t>식단사진, 월별식단표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</x:si>
</x:sst>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.\ \ \ mm\.\ \ \ dd\."/>
    <x:numFmt numFmtId="165" formatCode="0.0_ "/>
  </x:numFmts>
  <x:fonts count="29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굴림"/>
      <x:sz val="11"/>
      <x:color rgb="ff000000"/>
    </x:font>
    <x:font>
      <x:name val="굴림"/>
      <x:sz val="11"/>
      <x:color rgb="ff000000"/>
      <x:b val="1"/>
    </x:font>
    <x:font>
      <x:name val="굴림"/>
      <x:sz val="12"/>
      <x:color rgb="ff000000"/>
      <x:b val="1"/>
    </x:font>
    <x:font>
      <x:name val="굴림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9933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9933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3366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33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Wingding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Wingdings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Wingdings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Wingdings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c6daf1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ebdef1"/>
        <x:bgColor indexed="64"/>
      </x:patternFill>
    </x:fill>
  </x:fills>
  <x:borders count="3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rgb="ff000000"/>
      </x:right>
      <x:top style="thin">
        <x:color auto="1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auto="1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 style="thin">
        <x:color auto="1"/>
      </x:bottom>
    </x:border>
    <x:border>
      <x:left>
        <x:color rgb="ff000000"/>
      </x:left>
      <x:right>
        <x:color rgb="ff000000"/>
      </x:right>
      <x:top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rgb="ff000000"/>
      </x:bottom>
    </x:border>
    <x:border>
      <x:left style="thin">
        <x:color auto="1"/>
      </x:left>
      <x:right>
        <x:color rgb="ff000000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rgb="ff000000"/>
      </x:top>
      <x:bottom>
        <x:color rgb="ff000000"/>
      </x:bottom>
    </x:border>
    <x:border>
      <x:left>
        <x:color rgb="ff000000"/>
      </x:left>
      <x:right style="thin">
        <x:color rgb="ff000000"/>
      </x:right>
      <x:top style="thin">
        <x:color auto="1"/>
      </x:top>
      <x:bottom>
        <x:color rgb="ff000000"/>
      </x:bottom>
    </x:border>
    <x:border>
      <x:left>
        <x:color rgb="ff000000"/>
      </x:left>
      <x:right style="thin">
        <x:color rgb="ff000000"/>
      </x:right>
      <x:top>
        <x:color rgb="ff000000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>
        <x:color rgb="ff000000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 style="thin">
        <x:color auto="1"/>
      </x:top>
      <x:bottom>
        <x:color rgb="ff000000"/>
      </x:bottom>
    </x:border>
    <x:border>
      <x:left style="thin">
        <x:color rgb="ff000000"/>
      </x:left>
      <x:right>
        <x:color rgb="ff000000"/>
      </x:right>
      <x:top>
        <x:color rgb="ff000000"/>
      </x:top>
      <x:bottom>
        <x:color rgb="ff000000"/>
      </x:bottom>
    </x:border>
    <x:border>
      <x:left style="thin">
        <x:color rgb="ff000000"/>
      </x:left>
      <x:right>
        <x:color rgb="ff000000"/>
      </x:right>
      <x:top>
        <x:color rgb="ff000000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 style="thin">
        <x:color auto="1"/>
      </x:top>
      <x:bottom style="thin">
        <x:color rgb="ff000000"/>
      </x:bottom>
    </x:border>
    <x:border>
      <x:left>
        <x:color rgb="ff000000"/>
      </x:left>
      <x:right>
        <x:color rgb="ff000000"/>
      </x:right>
      <x:top style="thin">
        <x:color auto="1"/>
      </x:top>
      <x:bottom style="thin">
        <x:color rgb="ff000000"/>
      </x:bottom>
    </x:border>
    <x:border>
      <x:left>
        <x:color rgb="ff000000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 style="thin">
        <x:color rgb="ff000000"/>
      </x:top>
      <x:bottom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>
        <x:color rgb="ff000000"/>
      </x:bottom>
    </x:border>
    <x:border>
      <x:left style="thin"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>
        <x:color rgb="ff000000"/>
      </x:bottom>
    </x:border>
    <x:border>
      <x:left style="thin">
        <x:color rgb="ff000000"/>
      </x:left>
      <x:right style="thin">
        <x:color auto="1"/>
      </x:right>
      <x:top>
        <x:color rgb="ff000000"/>
      </x:top>
      <x:bottom style="thin">
        <x:color rgb="ff000000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auto="1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>
        <x:color rgb="ff000000"/>
      </x:right>
      <x:top style="thin">
        <x:color rgb="ff000000"/>
      </x:top>
      <x:bottom style="thin">
        <x:color auto="1"/>
      </x:bottom>
    </x:border>
    <x:border>
      <x:left>
        <x:color rgb="ff000000"/>
      </x:left>
      <x:right>
        <x:color rgb="ff000000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 style="thin">
        <x:color auto="1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rgb="ff000000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56"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 wrapText="1"/>
        </x:xf>
      </mc:Fallback>
    </mc:AlternateContent>
    <x:xf numFmtId="0" fontId="6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 wrapText="1"/>
        </x:xf>
      </mc:Fallback>
    </mc:AlternateContent>
    <x:xf numFmtId="0" fontId="9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 wrapText="1"/>
        </x:xf>
      </mc:Fallback>
    </mc:AlternateContent>
    <x:xf numFmtId="0" fontId="9" fillId="0" borderId="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Border="1" applyAlignment="1">
          <x:alignment horizontal="justify" vertical="center" wrapText="1"/>
        </x:xf>
      </mc:Fallback>
    </mc:AlternateContent>
    <x:xf numFmtId="0" fontId="9" fillId="0" borderId="0" xfId="0" applyNumberFormat="1" applyFont="1">
      <x:alignment horizontal="general" vertical="center"/>
    </x:xf>
    <x:xf numFmtId="0" fontId="9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x:xf numFmtId="0" fontId="8" fillId="0" borderId="0" xfId="0" applyNumberFormat="1" applyFont="1" applyAlignment="1">
      <x:alignment horizontal="left" vertical="center"/>
    </x:xf>
    <x:xf numFmtId="0" fontId="10" fillId="0" borderId="0" xfId="0" applyNumberFormat="1" applyFont="1" applyAlignment="1">
      <x:alignment horizontal="general" vertical="center" wrapText="1"/>
    </x:xf>
    <x:xf numFmtId="0" fontId="6" fillId="0" borderId="0" xfId="0" applyNumberFormat="1" applyFont="1" applyFill="1">
      <x:alignment horizontal="general" vertical="center"/>
    </x:xf>
    <x:xf numFmtId="0" fontId="9" fillId="0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0" xfId="0" applyNumberFormat="1" applyFont="1" applyFill="1" applyAlignment="1">
      <x:alignment horizontal="general" vertical="center"/>
    </x:xf>
    <x:xf numFmtId="0" fontId="7" fillId="0" borderId="0" xfId="0" applyNumberFormat="1" applyFont="1" applyAlignment="1">
      <x:alignment horizontal="general" vertical="center"/>
    </x:xf>
    <x:xf numFmtId="0" fontId="9" fillId="0" borderId="0" xfId="0" applyNumberFormat="1" applyFont="1" applyAlignment="1">
      <x:alignment horizontal="general" vertical="center"/>
    </x:xf>
    <x:xf numFmtId="0" fontId="9" fillId="0" borderId="0" xfId="0" applyNumberFormat="1" applyFont="1" applyFill="1" applyAlignment="1">
      <x:alignment horizontal="general" vertical="center"/>
    </x:xf>
    <x:xf numFmtId="0" fontId="6" fillId="0" borderId="0" xfId="0" applyNumberFormat="1" applyFont="1" applyAlignment="1">
      <x:alignment horizontal="general" vertical="center"/>
    </x:xf>
    <x:xf numFmtId="164" fontId="7" fillId="0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Fill="1" applyAlignment="1">
          <x:alignment horizontal="center" vertical="center"/>
        </x:xf>
      </mc:Fallback>
    </mc:AlternateContent>
    <x:xf numFmtId="0" fontId="8" fillId="0" borderId="0" xfId="0" applyNumberFormat="1" applyFont="1" applyAlignment="1">
      <x:alignment horizontal="general" vertical="center"/>
    </x:xf>
    <x:xf numFmtId="0" fontId="8" fillId="0" borderId="0" xfId="0" applyNumberFormat="1" applyFont="1">
      <x:alignment horizontal="general" vertical="center"/>
    </x:xf>
    <x:xf numFmtId="0" fontId="8" fillId="0" borderId="0" xfId="0" applyNumberFormat="1" applyFont="1" applyAlignment="1">
      <x:alignment horizontal="general" vertical="center" wrapText="1"/>
    </x:xf>
    <x:xf numFmtId="0" fontId="9" fillId="0" borderId="0" xfId="0" applyNumberFormat="1" applyFont="1" applyAlignment="1">
      <x:alignment horizontal="left" vertical="center"/>
    </x:xf>
    <x:xf numFmtId="0" fontId="9" fillId="0" borderId="4" xfId="0" applyNumberFormat="1" applyFont="1" applyFill="1" applyBorder="1" applyAlignment="1">
      <x:alignment horizontal="left" vertical="center" wrapText="1"/>
    </x:xf>
    <x:xf numFmtId="0" fontId="9" fillId="0" borderId="5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0" borderId="7" xfId="0" applyNumberFormat="1" applyFont="1" applyFill="1" applyBorder="1" applyAlignment="1">
      <x:alignment horizontal="left" vertical="center" wrapText="1"/>
    </x:xf>
    <x:xf numFmtId="0" fontId="9" fillId="0" borderId="8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Alignment="1">
      <x:alignment horizontal="left" vertical="center"/>
    </x:xf>
    <x:xf numFmtId="0" fontId="7" fillId="0" borderId="0" xfId="0" applyNumberFormat="1" applyFont="1" applyAlignment="1">
      <x:alignment horizontal="general" vertical="center"/>
    </x:xf>
    <x:xf numFmtId="0" fontId="7" fillId="0" borderId="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>
          <x:alignment horizontal="center" vertical="center"/>
        </x:xf>
      </mc:Fallback>
    </mc:AlternateContent>
    <x:xf numFmtId="0" fontId="6" fillId="0" borderId="2" xfId="0" applyNumberFormat="1" applyFont="1" applyFill="1" applyBorder="1" applyAlignment="1">
      <x:alignment horizontal="general" vertical="center"/>
    </x:xf>
    <x:xf numFmtId="0" fontId="6" fillId="0" borderId="0" xfId="0" applyNumberFormat="1" applyFont="1" applyFill="1" applyAlignment="1">
      <x:alignment horizontal="general" vertical="center"/>
    </x:xf>
    <x:xf numFmtId="0" fontId="12" fillId="0" borderId="0" xfId="0" applyNumberFormat="1" applyFont="1">
      <x:alignment horizontal="general" vertical="center"/>
    </x:xf>
    <x:xf numFmtId="0" fontId="13" fillId="0" borderId="0" xfId="0" applyNumberFormat="1" applyFont="1">
      <x:alignment horizontal="general" vertical="center"/>
    </x:xf>
    <x:xf numFmtId="0" fontId="14" fillId="0" borderId="0" xfId="0" applyNumberFormat="1" applyFont="1">
      <x:alignment horizontal="general" vertical="center"/>
    </x:xf>
    <x:xf numFmtId="0" fontId="15" fillId="3" borderId="2" xfId="0" applyNumberFormat="1" applyFont="1" applyFill="1" applyBorder="1" applyAlignment="1">
      <x:alignment horizontal="general" vertical="center" wrapText="1"/>
    </x:xf>
    <x:xf numFmtId="0" fontId="6" fillId="0" borderId="2" xfId="0" applyNumberFormat="1" applyFont="1" applyFill="1" applyBorder="1">
      <x:alignment horizontal="general" vertical="center"/>
    </x:xf>
    <x:xf numFmtId="0" fontId="9" fillId="0" borderId="11" xfId="0" applyNumberFormat="1" applyFont="1" applyFill="1" applyBorder="1">
      <x:alignment horizontal="general" vertical="center"/>
    </x:xf>
    <x:xf numFmtId="0" fontId="6" fillId="0" borderId="0" xfId="0" applyNumberFormat="1" applyFont="1" applyAlignment="1">
      <x:alignment horizontal="general" vertical="center" shrinkToFit="1"/>
    </x:xf>
    <x:xf numFmtId="0" fontId="9" fillId="0" borderId="0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15" fillId="0" borderId="0" xfId="0" applyNumberFormat="1" applyFont="1" applyAlignment="1">
      <x:alignment horizontal="general" vertical="center" wrapText="1"/>
    </x:xf>
    <x:xf numFmtId="0" fontId="16" fillId="0" borderId="0" xfId="0" applyNumberFormat="1" applyFont="1">
      <x:alignment horizontal="general" vertical="center"/>
    </x:xf>
    <x:xf numFmtId="0" fontId="17" fillId="0" borderId="0" xfId="0" applyNumberFormat="1" applyFont="1">
      <x:alignment horizontal="general" vertical="center"/>
    </x:xf>
    <x:xf numFmtId="0" fontId="1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2" xfId="0" applyNumberFormat="1" applyFont="1" applyFill="1" applyBorder="1" applyAlignment="1">
      <x:alignment horizontal="general" vertical="center" wrapText="1"/>
    </x:xf>
    <x:xf numFmtId="0" fontId="9" fillId="0" borderId="12" xfId="0" applyNumberFormat="1" applyFont="1" applyBorder="1" applyAlignment="1">
      <x:alignment horizontal="general" vertical="center" wrapText="1"/>
    </x:xf>
    <x:xf numFmtId="0" fontId="18" fillId="0" borderId="0" xfId="0" applyNumberFormat="1" applyFont="1" applyAlignment="1">
      <x:alignment horizontal="left" vertical="center"/>
    </x:xf>
    <x:xf numFmtId="0" fontId="9" fillId="0" borderId="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Border="1" applyAlignment="1">
          <x:alignment horizontal="center" vertical="center"/>
        </x:xf>
      </mc:Fallback>
    </mc:AlternateContent>
    <x:xf numFmtId="0" fontId="9" fillId="0" borderId="2" xfId="0" applyNumberFormat="1" applyFont="1" applyBorder="1">
      <x:alignment horizontal="general" vertical="center"/>
    </x:xf>
    <x:xf numFmtId="0" fontId="7" fillId="0" borderId="0" xfId="0" applyNumberFormat="1" applyFont="1" applyFill="1" applyBorder="1" applyAlignment="1">
      <x:alignment horizontal="general" vertical="center"/>
    </x:xf>
    <x:xf numFmtId="0" fontId="11" fillId="0" borderId="0" xfId="0" applyNumberFormat="1" applyFont="1" applyFill="1" applyBorder="1" applyAlignment="1">
      <x:alignment horizontal="general" vertical="center"/>
    </x:xf>
    <x:xf numFmtId="0" fontId="0" fillId="0" borderId="0" xfId="0" applyNumberFormat="1" applyBorder="1">
      <x:alignment horizontal="general" vertical="center"/>
    </x:xf>
    <x:xf numFmtId="0" fontId="7" fillId="0" borderId="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1" xfId="0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8" xfId="0" applyNumberFormat="1" applyFont="1" applyFill="1" applyBorder="1" applyAlignment="1">
      <x:alignment horizontal="left" vertical="center" wrapText="1"/>
    </x:xf>
    <x:xf numFmtId="0" fontId="9" fillId="0" borderId="12" xfId="0" applyNumberFormat="1" applyFont="1" applyFill="1" applyBorder="1" applyAlignment="1">
      <x:alignment horizontal="general" vertical="center" wrapText="1"/>
    </x:xf>
    <x:xf numFmtId="0" fontId="7" fillId="0" borderId="0" xfId="0" applyNumberFormat="1" applyFont="1" applyBorder="1" applyAlignment="1">
      <x:alignment horizontal="left" vertical="center"/>
    </x:xf>
    <x:xf numFmtId="0" fontId="7" fillId="0" borderId="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0" fontId="8" fillId="0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Alignment="1">
          <x:alignment horizontal="center" vertical="center"/>
        </x:xf>
      </mc:Fallback>
    </mc:AlternateContent>
    <x:xf numFmtId="49" fontId="7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Border="1" applyAlignment="1">
      <x:alignment horizontal="left" vertical="center"/>
    </x:xf>
    <x:xf numFmtId="0" fontId="9" fillId="0" borderId="6" xfId="0" applyNumberFormat="1" applyFont="1" applyBorder="1" applyAlignment="1">
      <x:alignment horizontal="left" vertical="center" wrapText="1"/>
    </x:xf>
    <x:xf numFmtId="0" fontId="9" fillId="0" borderId="4" xfId="0" applyNumberFormat="1" applyFont="1" applyBorder="1" applyAlignment="1">
      <x:alignment horizontal="left" vertical="center" wrapText="1"/>
    </x:xf>
    <x:xf numFmtId="0" fontId="9" fillId="0" borderId="2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 wrapText="1"/>
        </x:xf>
      </mc:Fallback>
    </mc:AlternateContent>
    <x:xf numFmtId="165" fontId="7" fillId="0" borderId="2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Border="1" applyAlignment="1">
          <x:alignment horizontal="justify" vertical="center" wrapText="1"/>
        </x:xf>
      </mc:Fallback>
    </mc:AlternateContent>
    <x:xf numFmtId="0" fontId="19" fillId="0" borderId="7" xfId="0" applyNumberFormat="1" applyFont="1" applyBorder="1" applyAlignment="1">
      <x:alignment horizontal="general" vertical="center" wrapText="1"/>
    </x:xf>
    <x:xf numFmtId="0" fontId="9" fillId="0" borderId="7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Alignment="1" applyProtection="1">
          <x:alignment horizontal="right" vertical="center"/>
        </x:xf>
      </mc:Fallback>
    </mc:AlternateContent>
    <x:xf numFmtId="0" fontId="9" fillId="0" borderId="5" xfId="0" applyNumberFormat="1" applyFont="1" applyFill="1" applyBorder="1" applyAlignment="1">
      <x:alignment horizontal="left" vertical="center" wrapText="1"/>
    </x:xf>
    <x:xf numFmtId="0" fontId="9" fillId="0" borderId="5" xfId="0" applyNumberFormat="1" applyFont="1" applyFill="1" applyBorder="1" applyAlignment="1">
      <x:alignment horizontal="left" vertical="center" wrapText="1"/>
    </x:xf>
    <x:xf numFmtId="0" fontId="9" fillId="0" borderId="5" xfId="0" applyNumberFormat="1" applyFont="1" applyFill="1" applyBorder="1" applyAlignment="1">
      <x:alignment horizontal="left" vertical="center" wrapText="1"/>
    </x:xf>
    <x:xf numFmtId="0" fontId="9" fillId="0" borderId="5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Border="1" applyAlignment="1">
          <x:alignment horizontal="center" vertical="center" wrapText="1"/>
        </x:xf>
      </mc:Fallback>
    </mc:AlternateContent>
    <x:xf numFmtId="0" fontId="19" fillId="0" borderId="6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0" borderId="3" xfId="0" applyNumberFormat="1" applyFont="1" applyBorder="1" applyAlignment="1">
      <x:alignment horizontal="left" vertical="center" wrapText="1"/>
    </x:xf>
    <x:xf numFmtId="0" fontId="19" fillId="0" borderId="3" xfId="0" applyNumberFormat="1" applyFont="1" applyBorder="1" applyAlignment="1">
      <x:alignment horizontal="general" vertical="center" wrapText="1"/>
    </x:xf>
    <x:xf numFmtId="0" fontId="9" fillId="0" borderId="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2" xfId="0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0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6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wrapText="1"/>
        </x:xf>
      </mc:Fallback>
    </mc:AlternateContent>
    <x:xf numFmtId="0" fontId="20" fillId="0" borderId="0" xfId="0" applyNumberFormat="1" applyFont="1">
      <x:alignment horizontal="general" vertical="center"/>
    </x:xf>
    <x:xf numFmtId="0" fontId="21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Fill="1" applyAlignment="1">
          <x:alignment horizontal="right" vertical="center"/>
        </x:xf>
      </mc:Fallback>
    </mc:AlternateContent>
    <x:xf numFmtId="164" fontId="22" fillId="0" borderId="0" xfId="0" applyNumberFormat="1" applyFont="1" applyFill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Fill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Fill="1" applyAlignment="1" applyProtection="1">
          <x:alignment horizontal="right" vertical="center"/>
        </x:xf>
      </mc:Fallback>
    </mc:AlternateContent>
    <x:xf numFmtId="0" fontId="22" fillId="0" borderId="0" xfId="0" applyNumberFormat="1" applyFont="1" applyFill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Fill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Fill="1" applyAlignment="1" applyProtection="1">
          <x:alignment horizontal="center" vertical="center"/>
        </x:xf>
      </mc:Fallback>
    </mc:AlternateContent>
    <x:xf numFmtId="0" fontId="22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right" vertical="center"/>
        </x:xf>
      </mc:Fallback>
    </mc:AlternateContent>
    <x:xf numFmtId="0" fontId="7" fillId="0" borderId="0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0" borderId="0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5" xfId="0" applyNumberFormat="1" applyFont="1" applyFill="1" applyBorder="1" applyAlignment="1">
          <x:alignment horizontal="center" vertical="center" shrinkToFit="1"/>
        </x:xf>
      </mc:Fallback>
    </mc:AlternateContent>
    <x:xf numFmtId="0" fontId="11" fillId="2" borderId="2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5" xfId="0" applyNumberFormat="1" applyFont="1" applyFill="1" applyBorder="1" applyAlignment="1">
          <x:alignment horizontal="center" vertical="center" shrinkToFit="1"/>
        </x:xf>
      </mc:Fallback>
    </mc:AlternateContent>
    <x:xf numFmtId="0" fontId="11" fillId="0" borderId="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" xfId="0" applyNumberFormat="1" applyFont="1" applyFill="1" applyBorder="1" applyAlignment="1">
          <x:alignment horizontal="center" vertical="center" shrinkToFit="1"/>
        </x:xf>
      </mc:Fallback>
    </mc:AlternateContent>
    <x:xf numFmtId="0" fontId="27" fillId="2" borderId="2" xfId="0" applyNumberFormat="1" applyFont="1" applyFill="1" applyBorder="1" applyAlignment="1">
      <x:alignment horizontal="general" vertical="center" wrapText="1"/>
    </x:xf>
    <x:xf numFmtId="0" fontId="27" fillId="0" borderId="2" xfId="0" applyNumberFormat="1" applyFont="1" applyBorder="1" applyAlignment="1">
      <x:alignment horizontal="general" vertical="center" shrinkToFit="1"/>
    </x:xf>
    <x:xf numFmtId="164" fontId="7" fillId="0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right" vertical="center"/>
        </x:xf>
      </mc:Fallback>
    </mc:AlternateContent>
    <x:xf numFmtId="0" fontId="7" fillId="0" borderId="0" xfId="0" applyNumberFormat="1" applyFont="1" applyAlignment="1">
      <x:alignment horizontal="left" vertical="center" shrinkToFit="1"/>
    </x:xf>
    <x:xf numFmtId="0" fontId="7" fillId="0" borderId="0" xfId="0" applyNumberFormat="1" applyFont="1" applyAlignment="1">
      <x:alignment horizontal="general" vertical="center" shrinkToFit="1"/>
    </x:xf>
    <x:xf numFmtId="0" fontId="7" fillId="0" borderId="0" xfId="0" applyNumberFormat="1" applyFont="1" applyFill="1" applyAlignment="1">
      <x:alignment horizontal="left" vertical="center" shrinkToFit="1"/>
    </x:xf>
    <x:xf numFmtId="0" fontId="7" fillId="0" borderId="0" xfId="0" applyNumberFormat="1" applyFont="1" applyFill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1" fillId="5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2" xfId="0" applyNumberFormat="1" applyFont="1" applyFill="1" applyBorder="1" applyAlignment="1">
          <x:alignment horizontal="center" vertical="center" wrapText="1"/>
        </x:xf>
      </mc:Fallback>
    </mc:AlternateContent>
    <x:xf numFmtId="0" fontId="0" fillId="5" borderId="35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 wrapText="1"/>
        </x:xf>
      </mc:Fallback>
    </mc:AlternateContent>
    <x:xf numFmtId="0" fontId="9" fillId="0" borderId="4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horizontal="left" vertical="center" wrapText="1"/>
    </x:xf>
    <x:xf numFmtId="0" fontId="9" fillId="0" borderId="7" xfId="0" applyNumberFormat="1" applyFont="1" applyFill="1" applyBorder="1" applyAlignment="1">
      <x:alignment horizontal="left" vertical="center" wrapText="1"/>
    </x:xf>
    <x:xf numFmtId="0" fontId="9" fillId="0" borderId="11" xfId="0" applyNumberFormat="1" applyFont="1" applyBorder="1" applyAlignment="1">
      <x:alignment horizontal="left" vertical="center" wrapText="1"/>
    </x:xf>
    <x:xf numFmtId="0" fontId="9" fillId="0" borderId="13" xfId="0" applyNumberFormat="1" applyFont="1" applyBorder="1" applyAlignment="1">
      <x:alignment horizontal="left" vertical="center" wrapText="1"/>
    </x:xf>
    <x:xf numFmtId="0" fontId="9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3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9" fillId="0" borderId="11" xfId="0" applyNumberFormat="1" applyFont="1" applyFill="1" applyBorder="1" applyAlignment="1">
      <x:alignment horizontal="left" vertical="center" wrapText="1"/>
    </x:xf>
    <x:xf numFmtId="0" fontId="9" fillId="0" borderId="13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0" fillId="0" borderId="1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2" xfId="0" applyNumberFormat="1" applyFont="1" applyBorder="1" applyAlignment="1">
          <x:alignment horizontal="center" vertical="center" wrapText="1"/>
        </x:xf>
      </mc:Fallback>
    </mc:AlternateContent>
    <x:xf numFmtId="0" fontId="9" fillId="0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4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35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9" fillId="0" borderId="6" xfId="0" applyNumberFormat="1" applyFont="1" applyFill="1" applyBorder="1" applyAlignment="1" applyProtection="1">
      <x:alignment horizontal="general" vertical="center" wrapText="1"/>
    </x:xf>
    <x:xf numFmtId="0" fontId="19" fillId="0" borderId="34" xfId="0" applyNumberFormat="1" applyFont="1" applyFill="1" applyBorder="1" applyAlignment="1" applyProtection="1">
      <x:alignment horizontal="general" vertical="center" wrapText="1"/>
    </x:xf>
    <x:xf numFmtId="0" fontId="19" fillId="0" borderId="4" xfId="0" applyNumberFormat="1" applyFont="1" applyFill="1" applyBorder="1" applyAlignment="1" applyProtection="1">
      <x:alignment horizontal="general" vertical="center" wrapText="1"/>
    </x:xf>
    <x:xf numFmtId="0" fontId="19" fillId="0" borderId="5" xfId="0" applyNumberFormat="1" applyFont="1" applyFill="1" applyBorder="1" applyAlignment="1" applyProtection="1">
      <x:alignment horizontal="general" vertical="center" wrapText="1"/>
    </x:xf>
    <x:xf numFmtId="0" fontId="19" fillId="0" borderId="26" xfId="0" applyNumberFormat="1" applyFont="1" applyFill="1" applyBorder="1" applyAlignment="1" applyProtection="1">
      <x:alignment horizontal="general" vertical="center" wrapText="1"/>
    </x:xf>
    <x:xf numFmtId="0" fontId="19" fillId="0" borderId="28" xfId="0" applyNumberFormat="1" applyFont="1" applyFill="1" applyBorder="1" applyAlignment="1" applyProtection="1">
      <x:alignment horizontal="general" vertical="center" wrapText="1"/>
    </x:xf>
    <x:xf numFmtId="0" fontId="9" fillId="0" borderId="7" xfId="0" applyNumberFormat="1" applyFont="1" applyFill="1" applyBorder="1" applyAlignment="1" applyProtection="1">
      <x:alignment horizontal="general" vertical="center" wrapText="1"/>
    </x:xf>
    <x:xf numFmtId="0" fontId="9" fillId="0" borderId="8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2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36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0" borderId="26" xfId="0" applyNumberFormat="1" applyFont="1" applyFill="1" applyBorder="1" applyAlignment="1" applyProtection="1">
      <x:alignment horizontal="left" vertical="center" wrapText="1"/>
    </x:xf>
    <x:xf numFmtId="0" fontId="9" fillId="0" borderId="28" xfId="0" applyNumberFormat="1" applyFont="1" applyFill="1" applyBorder="1" applyAlignment="1" applyProtection="1">
      <x:alignment horizontal="left" vertical="center" wrapText="1"/>
    </x:xf>
    <x:xf numFmtId="0" fontId="9" fillId="0" borderId="3" xfId="0" applyNumberFormat="1" applyFont="1" applyFill="1" applyBorder="1" applyAlignment="1" applyProtection="1">
      <x:alignment horizontal="general" vertical="center" wrapText="1"/>
    </x:xf>
    <x:xf numFmtId="0" fontId="9" fillId="0" borderId="26" xfId="0" applyNumberFormat="1" applyFont="1" applyFill="1" applyBorder="1" applyAlignment="1" applyProtection="1">
      <x:alignment horizontal="general" vertical="center" wrapText="1"/>
    </x:xf>
    <x:xf numFmtId="0" fontId="9" fillId="0" borderId="28" xfId="0" applyNumberFormat="1" applyFont="1" applyFill="1" applyBorder="1" applyAlignment="1" applyProtection="1">
      <x:alignment horizontal="general" vertical="center" wrapText="1"/>
    </x:xf>
    <x:xf numFmtId="0" fontId="6" fillId="0" borderId="37" xfId="0" applyNumberFormat="1" applyFont="1" applyFill="1" applyBorder="1" applyAlignment="1" applyProtection="1">
      <x:alignment horizontal="general" vertical="center" wrapText="1"/>
    </x:xf>
    <x:xf numFmtId="0" fontId="6" fillId="0" borderId="0" xfId="0" applyNumberFormat="1" applyFont="1" applyFill="1" applyBorder="1" applyAlignment="1" applyProtection="1">
      <x:alignment horizontal="general" vertical="center" wrapText="1"/>
    </x:xf>
  </x:cellXfs>
  <x:cellStyles count="1">
    <x:cellStyle name="표준" xfId="0" builtinId="0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ccffcc"/>
        </x:patternFill>
      </x:fill>
    </x:dxf>
    <x:dxf>
      <x:fill>
        <x:patternFill>
          <x:bgColor rgb="ffebf1de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u val="none"/>
            <hs:underlineType val="0"/>
            <hs:underlineShape val="solid"/>
            <hs:underlineColor rgb="ff000000"/>
            <hs:useFontSpace val="0"/>
            <hs:size val="0"/>
            <hs:ratio val="0"/>
            <hs:spacing val="0"/>
            <hs:offset val="0"/>
          </x:font>
          <x:fill>
            <x:patternFill>
              <x:bgColor rgb="ffccffcc"/>
            </x:patternFill>
          </x:fill>
        </x:dxf>
      </mc:Choice>
      <mc:Fallback>
        <x:dxf>
          <x:font>
            <x:color rgb="ff000000"/>
            <x:u val="none"/>
          </x:font>
          <x:fill>
            <x:patternFill>
              <x:bgColor rgb="ffccffcc"/>
            </x:patternFill>
          </x:fill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위생표지">
    <x:tabColor rgb="ffccffff"/>
    <x:pageSetUpPr autoPageBreaks="1" fitToPage="1"/>
  </x:sheetPr>
  <x:dimension ref="A2:AY32"/>
  <x:sheetViews>
    <x:sheetView showGridLines="0" view="pageBreakPreview" topLeftCell="A1" zoomScaleNormal="100" zoomScaleSheetLayoutView="100" workbookViewId="0">
      <x:selection activeCell="A9" activeCellId="0" sqref="A9:X9"/>
    </x:sheetView>
  </x:sheetViews>
  <x:sheetFormatPr defaultColWidth="8.796875" defaultRowHeight="13.55000000000000071054"/>
  <x:cols>
    <x:col min="1" max="1" width="6.6640625" style="1" customWidth="1"/>
    <x:col min="2" max="2" width="2.88671875" style="1" customWidth="1"/>
    <x:col min="3" max="3" width="3.77734375" style="1" customWidth="1"/>
    <x:col min="4" max="4" width="2.30078125" style="1" customWidth="1"/>
    <x:col min="5" max="5" width="4.6640625" style="1" customWidth="1"/>
    <x:col min="6" max="6" width="1.6640625" style="1" customWidth="1"/>
    <x:col min="7" max="7" width="3.109375" style="1" customWidth="1"/>
    <x:col min="8" max="8" width="4" style="1" customWidth="1"/>
    <x:col min="9" max="9" width="2.21875" style="1" customWidth="1"/>
    <x:col min="10" max="10" width="3.5546875" style="1" customWidth="1"/>
    <x:col min="11" max="11" width="5.21875" style="1" customWidth="1"/>
    <x:col min="12" max="12" width="0.88671875" style="1" customWidth="1"/>
    <x:col min="13" max="13" width="7.77734375" style="1" customWidth="1"/>
    <x:col min="14" max="14" width="1.21875" style="1" customWidth="1"/>
    <x:col min="15" max="15" width="3.77734375" style="1" customWidth="1"/>
    <x:col min="16" max="16" width="4.30078125" style="1" customWidth="1"/>
    <x:col min="17" max="17" width="6.1015625" style="1" customWidth="1"/>
    <x:col min="18" max="18" width="1" style="1" customWidth="1"/>
    <x:col min="19" max="19" width="4.33203125" style="1" customWidth="1"/>
    <x:col min="20" max="20" width="0.44140625" style="1" customWidth="1"/>
    <x:col min="21" max="21" width="4.88671875" style="1" customWidth="1"/>
    <x:col min="22" max="22" width="3.21875" style="1" customWidth="1"/>
    <x:col min="23" max="23" width="1.5546875" style="1" customWidth="1"/>
    <x:col min="24" max="24" width="4.33203125" style="1" customWidth="1"/>
    <x:col min="25" max="25" width="1.44140625" style="1" customWidth="1"/>
    <x:col min="26" max="26" width="12.890625" customWidth="1"/>
    <x:col min="27" max="27" width="8.88671875" bestFit="1" customWidth="1"/>
    <x:col min="52" max="256" width="8.88671875" style="1"/>
  </x:cols>
  <x:sheetData>
    <x:row r="1" ht="6" customHeight="1"/>
    <x:row r="2" spans="1:24" ht="41.25" customHeight="1">
      <x:c r="A2" s="138" t="s">
        <x:v>277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</x:row>
    <x:row r="3" spans="1:24" ht="16.5" customHeight="1">
      <x:c r="A3" s="139" t="s">
        <x:v>371</x:v>
      </x:c>
      <x:c r="B3" s="139"/>
      <x:c r="C3" s="139"/>
      <x:c r="D3" s="139"/>
      <x:c r="E3" s="139"/>
      <x:c r="F3" s="139"/>
      <x:c r="G3" s="139"/>
      <x:c r="H3" s="139"/>
      <x:c r="I3" s="139"/>
      <x:c r="J3" s="139"/>
      <x:c r="K3" s="139"/>
      <x:c r="L3" s="139"/>
      <x:c r="M3" s="139"/>
      <x:c r="N3" s="139"/>
      <x:c r="O3" s="139"/>
      <x:c r="P3" s="139"/>
      <x:c r="Q3" s="139"/>
      <x:c r="R3" s="139"/>
      <x:c r="S3" s="139"/>
      <x:c r="T3" s="139"/>
      <x:c r="U3" s="139"/>
      <x:c r="V3" s="139"/>
      <x:c r="W3" s="139"/>
      <x:c r="X3" s="139"/>
    </x:row>
    <x:row r="4" spans="1:27" ht="23.25" customHeight="1">
      <x:c r="A4" s="140" t="s">
        <x:v>298</x:v>
      </x:c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/>
      <x:c r="N4" s="140"/>
      <x:c r="O4" s="140"/>
      <x:c r="P4" s="140"/>
      <x:c r="Q4" s="140"/>
      <x:c r="R4" s="140"/>
      <x:c r="S4" s="140"/>
      <x:c r="T4" s="140"/>
      <x:c r="U4" s="140"/>
      <x:c r="V4" s="140"/>
      <x:c r="W4" s="140"/>
      <x:c r="X4" s="140"/>
      <x:c r="Z4" s="78" t="s">
        <x:v>328</x:v>
      </x:c>
      <x:c r="AA4" s="91">
        <x:f>'위생(1)'!G2+'위생(2)'!H2+'위생(3)'!E2</x:f>
        <x:v>100</x:v>
      </x:c>
    </x:row>
    <x:row r="5" spans="1:51" s="23" customFormat="1" ht="21" customHeight="1">
      <x:c r="A5" s="141" t="s">
        <x:v>160</x:v>
      </x:c>
      <x:c r="B5" s="142"/>
      <x:c r="C5" s="147" t="s">
        <x:v>299</x:v>
      </x:c>
      <x:c r="D5" s="142"/>
      <x:c r="E5" s="147" t="s">
        <x:v>276</x:v>
      </x:c>
      <x:c r="F5" s="142"/>
      <x:c r="G5" s="147" t="s">
        <x:v>159</x:v>
      </x:c>
      <x:c r="H5" s="142"/>
      <x:c r="I5" s="147" t="s">
        <x:v>184</x:v>
      </x:c>
      <x:c r="J5" s="142"/>
      <x:c r="K5" s="147" t="s">
        <x:v>312</x:v>
      </x:c>
      <x:c r="L5" s="142"/>
      <x:c r="M5" s="147" t="s">
        <x:v>96</x:v>
      </x:c>
      <x:c r="N5" s="150"/>
      <x:c r="O5" s="155" t="s">
        <x:v>309</x:v>
      </x:c>
      <x:c r="P5" s="156"/>
      <x:c r="Q5" s="156"/>
      <x:c r="R5" s="156"/>
      <x:c r="S5" s="156"/>
      <x:c r="T5" s="156"/>
      <x:c r="U5" s="156"/>
      <x:c r="V5" s="156"/>
      <x:c r="W5" s="156"/>
      <x:c r="X5" s="157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</x:row>
    <x:row r="6" spans="1:51" s="23" customFormat="1" ht="21" customHeight="1">
      <x:c r="A6" s="143"/>
      <x:c r="B6" s="144"/>
      <x:c r="C6" s="148"/>
      <x:c r="D6" s="144"/>
      <x:c r="E6" s="148"/>
      <x:c r="F6" s="144"/>
      <x:c r="G6" s="148"/>
      <x:c r="H6" s="144"/>
      <x:c r="I6" s="148"/>
      <x:c r="J6" s="144"/>
      <x:c r="K6" s="148"/>
      <x:c r="L6" s="144"/>
      <x:c r="M6" s="151"/>
      <x:c r="N6" s="152"/>
      <x:c r="O6" s="158" t="s">
        <x:v>211</x:v>
      </x:c>
      <x:c r="P6" s="159"/>
      <x:c r="Q6" s="158" t="s">
        <x:v>247</x:v>
      </x:c>
      <x:c r="R6" s="159"/>
      <x:c r="S6" s="160" t="s">
        <x:v>157</x:v>
      </x:c>
      <x:c r="T6" s="161"/>
      <x:c r="U6" s="162"/>
      <x:c r="V6" s="158" t="s">
        <x:v>152</x:v>
      </x:c>
      <x:c r="W6" s="159"/>
      <x:c r="X6" s="163" t="s">
        <x:v>178</x:v>
      </x:c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</x:row>
    <x:row r="7" spans="1:51" s="23" customFormat="1" ht="21" customHeight="1">
      <x:c r="A7" s="145"/>
      <x:c r="B7" s="146"/>
      <x:c r="C7" s="149"/>
      <x:c r="D7" s="146"/>
      <x:c r="E7" s="149"/>
      <x:c r="F7" s="146"/>
      <x:c r="G7" s="149"/>
      <x:c r="H7" s="146"/>
      <x:c r="I7" s="149"/>
      <x:c r="J7" s="146"/>
      <x:c r="K7" s="149"/>
      <x:c r="L7" s="146"/>
      <x:c r="M7" s="153"/>
      <x:c r="N7" s="154"/>
      <x:c r="O7" s="149"/>
      <x:c r="P7" s="146"/>
      <x:c r="Q7" s="149"/>
      <x:c r="R7" s="146"/>
      <x:c r="S7" s="160" t="s">
        <x:v>185</x:v>
      </x:c>
      <x:c r="T7" s="162"/>
      <x:c r="U7" s="20" t="s">
        <x:v>182</x:v>
      </x:c>
      <x:c r="V7" s="149"/>
      <x:c r="W7" s="146"/>
      <x:c r="X7" s="164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</x:row>
    <x:row r="8" spans="1:51" s="24" customFormat="1" ht="27" customHeight="1">
      <x:c r="A8" s="165"/>
      <x:c r="B8" s="166"/>
      <x:c r="C8" s="167"/>
      <x:c r="D8" s="168"/>
      <x:c r="E8" s="167"/>
      <x:c r="F8" s="168"/>
      <x:c r="G8" s="167"/>
      <x:c r="H8" s="168"/>
      <x:c r="I8" s="167"/>
      <x:c r="J8" s="168"/>
      <x:c r="K8" s="167"/>
      <x:c r="L8" s="168"/>
      <x:c r="M8" s="169"/>
      <x:c r="N8" s="170"/>
      <x:c r="O8" s="167"/>
      <x:c r="P8" s="168"/>
      <x:c r="Q8" s="167"/>
      <x:c r="R8" s="168"/>
      <x:c r="S8" s="167"/>
      <x:c r="T8" s="168"/>
      <x:c r="U8" s="41"/>
      <x:c r="V8" s="167"/>
      <x:c r="W8" s="168"/>
      <x:c r="X8" s="42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</x:row>
    <x:row r="9" spans="1:51" s="25" customFormat="1" ht="23.25" customHeight="1">
      <x:c r="A9" s="171" t="s">
        <x:v>275</x:v>
      </x:c>
      <x:c r="B9" s="171"/>
      <x:c r="C9" s="171"/>
      <x:c r="D9" s="171"/>
      <x:c r="E9" s="171"/>
      <x:c r="F9" s="171"/>
      <x:c r="G9" s="171"/>
      <x:c r="H9" s="171"/>
      <x:c r="I9" s="171"/>
      <x:c r="J9" s="171"/>
      <x:c r="K9" s="171"/>
      <x:c r="L9" s="171"/>
      <x:c r="M9" s="171"/>
      <x:c r="N9" s="171"/>
      <x:c r="O9" s="171"/>
      <x:c r="P9" s="171"/>
      <x:c r="Q9" s="171"/>
      <x:c r="R9" s="171"/>
      <x:c r="S9" s="171"/>
      <x:c r="T9" s="171"/>
      <x:c r="U9" s="171"/>
      <x:c r="V9" s="171"/>
      <x:c r="W9" s="171"/>
      <x:c r="X9" s="171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</x:row>
    <x:row r="10" spans="1:51" s="25" customFormat="1" ht="21" customHeight="1">
      <x:c r="A10" s="172" t="s">
        <x:v>313</x:v>
      </x:c>
      <x:c r="B10" s="172"/>
      <x:c r="C10" s="172"/>
      <x:c r="D10" s="172"/>
      <x:c r="E10" s="172"/>
      <x:c r="F10" s="172"/>
      <x:c r="G10" s="172"/>
      <x:c r="H10" s="172"/>
      <x:c r="I10" s="172" t="s">
        <x:v>256</x:v>
      </x:c>
      <x:c r="J10" s="172"/>
      <x:c r="K10" s="173" t="s">
        <x:v>303</x:v>
      </x:c>
      <x:c r="L10" s="174"/>
      <x:c r="M10" s="174"/>
      <x:c r="N10" s="174"/>
      <x:c r="O10" s="174"/>
      <x:c r="P10" s="175"/>
      <x:c r="Q10" s="172" t="s">
        <x:v>325</x:v>
      </x:c>
      <x:c r="R10" s="172"/>
      <x:c r="S10" s="172"/>
      <x:c r="T10" s="172"/>
      <x:c r="U10" s="172"/>
      <x:c r="V10" s="172" t="s">
        <x:v>183</x:v>
      </x:c>
      <x:c r="W10" s="172"/>
      <x:c r="X10" s="172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</x:row>
    <x:row r="11" spans="1:51" s="25" customFormat="1" ht="35.10000000000000142109" customHeight="1">
      <x:c r="A11" s="19" t="s">
        <x:v>171</x:v>
      </x:c>
      <x:c r="B11" s="172" t="s">
        <x:v>170</x:v>
      </x:c>
      <x:c r="C11" s="172"/>
      <x:c r="D11" s="172" t="s">
        <x:v>166</x:v>
      </x:c>
      <x:c r="E11" s="172"/>
      <x:c r="F11" s="172" t="s">
        <x:v>178</x:v>
      </x:c>
      <x:c r="G11" s="172"/>
      <x:c r="H11" s="172"/>
      <x:c r="I11" s="172"/>
      <x:c r="J11" s="172"/>
      <x:c r="K11" s="173" t="s">
        <x:v>317</x:v>
      </x:c>
      <x:c r="L11" s="175"/>
      <x:c r="M11" s="173" t="s">
        <x:v>206</x:v>
      </x:c>
      <x:c r="N11" s="174"/>
      <x:c r="O11" s="174"/>
      <x:c r="P11" s="175"/>
      <x:c r="Q11" s="19" t="s">
        <x:v>266</x:v>
      </x:c>
      <x:c r="R11" s="172" t="s">
        <x:v>163</x:v>
      </x:c>
      <x:c r="S11" s="172"/>
      <x:c r="T11" s="172" t="s">
        <x:v>174</x:v>
      </x:c>
      <x:c r="U11" s="172"/>
      <x:c r="V11" s="172"/>
      <x:c r="W11" s="172"/>
      <x:c r="X11" s="172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</x:row>
    <x:row r="12" spans="1:51" s="45" customFormat="1" ht="27.75" customHeight="1">
      <x:c r="A12" s="54"/>
      <x:c r="B12" s="176"/>
      <x:c r="C12" s="176"/>
      <x:c r="D12" s="176"/>
      <x:c r="E12" s="176"/>
      <x:c r="F12" s="176"/>
      <x:c r="G12" s="176"/>
      <x:c r="H12" s="176"/>
      <x:c r="I12" s="176"/>
      <x:c r="J12" s="176"/>
      <x:c r="K12" s="177"/>
      <x:c r="L12" s="178"/>
      <x:c r="M12" s="73"/>
      <x:c r="N12" s="179" t="s">
        <x:v>111</x:v>
      </x:c>
      <x:c r="O12" s="179"/>
      <x:c r="P12" s="178"/>
      <x:c r="Q12" s="54"/>
      <x:c r="R12" s="176"/>
      <x:c r="S12" s="176"/>
      <x:c r="T12" s="176"/>
      <x:c r="U12" s="176"/>
      <x:c r="V12" s="180"/>
      <x:c r="W12" s="180"/>
      <x:c r="X12" s="180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</x:row>
    <x:row r="13" spans="1:24" ht="23.25" customHeight="1">
      <x:c r="A13" s="93" t="s">
        <x:v>203</x:v>
      </x:c>
      <x:c r="B13" s="93"/>
      <x:c r="C13" s="93"/>
      <x:c r="D13" s="94"/>
      <x:c r="E13" s="94"/>
      <x:c r="F13" s="92"/>
      <x:c r="G13" s="181" t="str">
        <x:f>IF(SUM('위생(1)'!G2+'위생(2)'!H2+'위생(3)'!E2)&gt;=90,"A",IF(SUM('위생(1)'!G2+'위생(2)'!H2+'위생(3)'!E2)&gt;=80,"B",IF(SUM('위생(1)'!G2+'위생(2)'!H2+'위생(3)'!E2)&gt;=70,"C",IF(SUM('위생(1)'!G2+'위생(2)'!H2+'위생(3)'!E2)&gt;=60,"D","E"))))</x:f>
        <x:v>A</x:v>
      </x:c>
      <x:c r="H13" s="181"/>
      <x:c r="I13" s="40" t="s">
        <x:v>154</x:v>
      </x:c>
      <x:c r="J13" s="22"/>
      <x:c r="K13" s="182" t="e">
        <x:f>#REF!+'위생(2)'!#REF!+'위생(3)'!#REF!</x:f>
        <x:v>#REF!</x:v>
      </x:c>
      <x:c r="L13" s="182"/>
      <x:c r="M13" s="22"/>
      <x:c r="N13" s="22"/>
      <x:c r="O13"/>
      <x:c r="P13"/>
      <x:c r="Q13"/>
      <x:c r="R13"/>
      <x:c r="S13"/>
      <x:c r="T13"/>
      <x:c r="U13"/>
      <x:c r="V13"/>
      <x:c r="W13" s="22"/>
      <x:c r="X13" s="22"/>
    </x:row>
    <x:row r="14" spans="1:51" s="11" customFormat="1" ht="25.5" customHeight="1">
      <x:c r="A14" s="183" t="s">
        <x:v>310</x:v>
      </x:c>
      <x:c r="B14" s="183"/>
      <x:c r="C14" s="183"/>
      <x:c r="D14" s="183"/>
      <x:c r="E14" s="183"/>
      <x:c r="F14" s="183"/>
      <x:c r="G14" s="183"/>
      <x:c r="H14" s="183"/>
      <x:c r="I14" s="184" t="s">
        <x:v>246</x:v>
      </x:c>
      <x:c r="J14" s="185"/>
      <x:c r="K14" s="185"/>
      <x:c r="L14" s="185"/>
      <x:c r="M14" s="185"/>
      <x:c r="N14" s="185"/>
      <x:c r="O14" s="185"/>
      <x:c r="P14" s="185"/>
      <x:c r="Q14" s="185"/>
      <x:c r="R14" s="185"/>
      <x:c r="S14" s="185"/>
      <x:c r="T14" s="185"/>
      <x:c r="U14" s="185"/>
      <x:c r="V14" s="185"/>
      <x:c r="W14" s="185"/>
      <x:c r="X14" s="186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</x:row>
    <x:row r="15" spans="1:51" s="11" customFormat="1" ht="45.75" customHeight="1">
      <x:c r="A15" s="187" t="s">
        <x:v>135</x:v>
      </x:c>
      <x:c r="B15" s="187"/>
      <x:c r="C15" s="187"/>
      <x:c r="D15" s="187"/>
      <x:c r="E15" s="187"/>
      <x:c r="F15" s="187"/>
      <x:c r="G15" s="187"/>
      <x:c r="H15" s="187"/>
      <x:c r="I15" s="188" t="str">
        <x:f>IF('위생(1)'!G2=51,"해당 사항 없음","")</x:f>
        <x:v/>
      </x:c>
      <x:c r="J15" s="189"/>
      <x:c r="K15" s="189"/>
      <x:c r="L15" s="189"/>
      <x:c r="M15" s="189"/>
      <x:c r="N15" s="189"/>
      <x:c r="O15" s="189"/>
      <x:c r="P15" s="189"/>
      <x:c r="Q15" s="189"/>
      <x:c r="R15" s="189"/>
      <x:c r="S15" s="189"/>
      <x:c r="T15" s="189"/>
      <x:c r="U15" s="189"/>
      <x:c r="V15" s="189"/>
      <x:c r="W15" s="189"/>
      <x:c r="X15" s="190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</x:row>
    <x:row r="16" spans="1:51" s="11" customFormat="1" ht="45.75" customHeight="1">
      <x:c r="A16" s="191" t="s">
        <x:v>240</x:v>
      </x:c>
      <x:c r="B16" s="191"/>
      <x:c r="C16" s="191"/>
      <x:c r="D16" s="191"/>
      <x:c r="E16" s="191"/>
      <x:c r="F16" s="191"/>
      <x:c r="G16" s="191"/>
      <x:c r="H16" s="191"/>
      <x:c r="I16" s="192"/>
      <x:c r="J16" s="193"/>
      <x:c r="K16" s="193"/>
      <x:c r="L16" s="193"/>
      <x:c r="M16" s="193"/>
      <x:c r="N16" s="193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4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</x:row>
    <x:row r="17" spans="1:51" s="11" customFormat="1" ht="45.75" customHeight="1">
      <x:c r="A17" s="191" t="s">
        <x:v>364</x:v>
      </x:c>
      <x:c r="B17" s="191"/>
      <x:c r="C17" s="191"/>
      <x:c r="D17" s="191"/>
      <x:c r="E17" s="191"/>
      <x:c r="F17" s="191"/>
      <x:c r="G17" s="191"/>
      <x:c r="H17" s="191"/>
      <x:c r="I17" s="192" t="str">
        <x:f>IF('위생(3)'!E2=0,"해당 사항 없음","")</x:f>
        <x:v>해당 사항 없음</x:v>
      </x:c>
      <x:c r="J17" s="193"/>
      <x:c r="K17" s="193"/>
      <x:c r="L17" s="193"/>
      <x:c r="M17" s="193"/>
      <x:c r="N17" s="193"/>
      <x:c r="O17" s="193"/>
      <x:c r="P17" s="193"/>
      <x:c r="Q17" s="193"/>
      <x:c r="R17" s="193"/>
      <x:c r="S17" s="193"/>
      <x:c r="T17" s="193"/>
      <x:c r="U17" s="193"/>
      <x:c r="V17" s="193" t="e">
        <x:f>IF(#REF!=0,"해당 사항 없음","")</x:f>
        <x:v>#REF!</x:v>
      </x:c>
      <x:c r="W17" s="193"/>
      <x:c r="X17" s="194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</x:row>
    <x:row r="18" spans="1:24" ht="23.25" customHeight="1">
      <x:c r="A18" s="67" t="s">
        <x:v>378</x:v>
      </x:c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8"/>
      <x:c r="O18" s="69"/>
      <x:c r="P18" s="69"/>
      <x:c r="Q18" s="69"/>
      <x:c r="R18" s="69"/>
      <x:c r="S18" s="69"/>
      <x:c r="T18" s="69"/>
      <x:c r="U18" s="69"/>
      <x:c r="V18" s="69"/>
      <x:c r="W18" s="67"/>
      <x:c r="X18" s="67"/>
    </x:row>
    <x:row r="19" spans="1:24" ht="23.25" customHeight="1">
      <x:c r="A19" s="70" t="s">
        <x:v>363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</x:row>
    <x:row r="20" spans="1:51" s="11" customFormat="1" ht="25.5" customHeight="1">
      <x:c r="A20" s="195" t="s">
        <x:v>168</x:v>
      </x:c>
      <x:c r="B20" s="195"/>
      <x:c r="C20" s="195"/>
      <x:c r="D20" s="195"/>
      <x:c r="E20" s="195"/>
      <x:c r="F20" s="195"/>
      <x:c r="G20" s="195"/>
      <x:c r="H20" s="195"/>
      <x:c r="I20" s="183" t="s">
        <x:v>290</x:v>
      </x:c>
      <x:c r="J20" s="183"/>
      <x:c r="K20" s="183"/>
      <x:c r="L20" s="183"/>
      <x:c r="M20" s="183"/>
      <x:c r="N20" s="183"/>
      <x:c r="O20" s="183"/>
      <x:c r="P20" s="183"/>
      <x:c r="Q20" s="183"/>
      <x:c r="R20" s="183"/>
      <x:c r="S20" s="183"/>
      <x:c r="T20" s="183"/>
      <x:c r="U20" s="183"/>
      <x:c r="V20" s="183"/>
      <x:c r="W20" s="183"/>
      <x:c r="X20" s="183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</x:row>
    <x:row r="21" spans="1:51" s="11" customFormat="1" ht="45.75" customHeight="1">
      <x:c r="A21" s="196" t="s">
        <x:v>287</x:v>
      </x:c>
      <x:c r="B21" s="196"/>
      <x:c r="C21" s="196"/>
      <x:c r="D21" s="196"/>
      <x:c r="E21" s="196"/>
      <x:c r="F21" s="196"/>
      <x:c r="G21" s="196"/>
      <x:c r="H21" s="196"/>
      <x:c r="I21" s="176"/>
      <x:c r="J21" s="176"/>
      <x:c r="K21" s="176"/>
      <x:c r="L21" s="176"/>
      <x:c r="M21" s="176"/>
      <x:c r="N21" s="176"/>
      <x:c r="O21" s="176"/>
      <x:c r="P21" s="176"/>
      <x:c r="Q21" s="176"/>
      <x:c r="R21" s="176"/>
      <x:c r="S21" s="176"/>
      <x:c r="T21" s="176"/>
      <x:c r="U21" s="176"/>
      <x:c r="V21" s="176"/>
      <x:c r="W21" s="176"/>
      <x:c r="X21" s="176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</x:row>
    <x:row r="22" spans="1:51" s="11" customFormat="1" ht="45.75" customHeight="1">
      <x:c r="A22" s="197" t="s">
        <x:v>286</x:v>
      </x:c>
      <x:c r="B22" s="197"/>
      <x:c r="C22" s="197"/>
      <x:c r="D22" s="197"/>
      <x:c r="E22" s="197"/>
      <x:c r="F22" s="197"/>
      <x:c r="G22" s="197"/>
      <x:c r="H22" s="197"/>
      <x:c r="I22" s="180"/>
      <x:c r="J22" s="180"/>
      <x:c r="K22" s="180"/>
      <x:c r="L22" s="180"/>
      <x:c r="M22" s="180"/>
      <x:c r="N22" s="180"/>
      <x:c r="O22" s="180"/>
      <x:c r="P22" s="180"/>
      <x:c r="Q22" s="180"/>
      <x:c r="R22" s="180"/>
      <x:c r="S22" s="180"/>
      <x:c r="T22" s="180"/>
      <x:c r="U22" s="180"/>
      <x:c r="V22" s="180"/>
      <x:c r="W22" s="180"/>
      <x:c r="X22" s="180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</x:row>
    <x:row r="23" ht="10.5" customHeight="1"/>
    <x:row r="24" spans="1:51" s="16" customFormat="1" ht="27" customHeight="1">
      <x:c r="A24" s="21"/>
      <x:c r="B24" s="21"/>
      <x:c r="C24" s="21"/>
      <x:c r="D24" s="21"/>
      <x:c r="E24" s="21"/>
      <x:c r="F24" s="21"/>
      <x:c r="G24" s="21"/>
      <x:c r="H24" s="21"/>
      <x:c r="J24" s="21"/>
      <x:c r="K24" s="18" t="s">
        <x:v>307</x:v>
      </x:c>
      <x:c r="L24" s="198" t="s">
        <x:v>191</x:v>
      </x:c>
      <x:c r="M24" s="198"/>
      <x:c r="N24" s="198"/>
      <x:c r="O24" s="198"/>
      <x:c r="P24" s="198"/>
      <x:c r="Q24" s="26"/>
      <x:c r="R24" s="26"/>
      <x:c r="S24" s="26"/>
      <x:c r="T24" s="26"/>
      <x:c r="U24" s="26"/>
      <x:c r="V24" s="26"/>
      <x:c r="W24" s="26"/>
      <x:c r="X24" s="27"/>
      <x:c r="Y24" s="21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</x:row>
    <x:row r="25" spans="1:24" ht="22.5" customHeight="1">
      <x:c r="A25" s="22"/>
      <x:c r="B25" s="22"/>
      <x:c r="C25" s="22"/>
      <x:c r="D25" s="22"/>
      <x:c r="E25" s="199" t="s">
        <x:v>283</x:v>
      </x:c>
      <x:c r="F25" s="199"/>
      <x:c r="G25" s="199"/>
      <x:c r="H25" s="199" t="s">
        <x:v>181</x:v>
      </x:c>
      <x:c r="I25" s="199"/>
      <x:c r="J25" s="200"/>
      <x:c r="K25" s="200"/>
      <x:c r="L25" s="200"/>
      <x:c r="M25" s="200"/>
      <x:c r="N25" s="199" t="s">
        <x:v>175</x:v>
      </x:c>
      <x:c r="O25" s="199"/>
      <x:c r="P25" s="201"/>
      <x:c r="Q25" s="201"/>
      <x:c r="R25" s="22"/>
      <x:c r="S25" s="199" t="s">
        <x:v>149</x:v>
      </x:c>
      <x:c r="T25" s="199"/>
      <x:c r="U25" s="200"/>
      <x:c r="V25" s="200"/>
      <x:c r="W25" s="199" t="s">
        <x:v>292</x:v>
      </x:c>
      <x:c r="X25" s="199"/>
    </x:row>
    <x:row r="26" spans="1:24" ht="22.5" customHeight="1">
      <x:c r="A26" s="22"/>
      <x:c r="B26" s="22"/>
      <x:c r="C26" s="22"/>
      <x:c r="D26" s="22"/>
      <x:c r="E26" s="199" t="s">
        <x:v>283</x:v>
      </x:c>
      <x:c r="F26" s="199"/>
      <x:c r="G26" s="199"/>
      <x:c r="H26" s="199" t="s">
        <x:v>181</x:v>
      </x:c>
      <x:c r="I26" s="199"/>
      <x:c r="J26" s="200"/>
      <x:c r="K26" s="200"/>
      <x:c r="L26" s="200"/>
      <x:c r="M26" s="200"/>
      <x:c r="N26" s="199" t="s">
        <x:v>175</x:v>
      </x:c>
      <x:c r="O26" s="199"/>
      <x:c r="P26" s="201"/>
      <x:c r="Q26" s="201"/>
      <x:c r="R26" s="22"/>
      <x:c r="S26" s="199" t="s">
        <x:v>149</x:v>
      </x:c>
      <x:c r="T26" s="199"/>
      <x:c r="U26" s="200"/>
      <x:c r="V26" s="200"/>
      <x:c r="W26" s="199" t="s">
        <x:v>292</x:v>
      </x:c>
      <x:c r="X26" s="199"/>
    </x:row>
    <x:row r="27" spans="1:24" ht="22.5" customHeight="1">
      <x:c r="A27" s="22"/>
      <x:c r="B27" s="22"/>
      <x:c r="C27" s="22"/>
      <x:c r="D27" s="22"/>
      <x:c r="E27" s="199" t="s">
        <x:v>274</x:v>
      </x:c>
      <x:c r="F27" s="199"/>
      <x:c r="G27" s="199"/>
      <x:c r="H27" s="199" t="s">
        <x:v>181</x:v>
      </x:c>
      <x:c r="I27" s="199"/>
      <x:c r="J27" s="202"/>
      <x:c r="K27" s="202"/>
      <x:c r="L27" s="202"/>
      <x:c r="M27" s="202"/>
      <x:c r="N27" s="199" t="s">
        <x:v>175</x:v>
      </x:c>
      <x:c r="O27" s="199"/>
      <x:c r="P27" s="203"/>
      <x:c r="Q27" s="203"/>
      <x:c r="R27" s="22"/>
      <x:c r="S27" s="199" t="s">
        <x:v>149</x:v>
      </x:c>
      <x:c r="T27" s="199"/>
      <x:c r="U27" s="200"/>
      <x:c r="V27" s="200"/>
      <x:c r="W27" s="199" t="s">
        <x:v>292</x:v>
      </x:c>
      <x:c r="X27" s="199"/>
    </x:row>
    <x:row r="28" spans="1:24" ht="22.5" customHeight="1">
      <x:c r="A28" s="22"/>
      <x:c r="B28" s="22"/>
      <x:c r="C28" s="22"/>
      <x:c r="D28" s="22"/>
      <x:c r="E28" s="199" t="s">
        <x:v>274</x:v>
      </x:c>
      <x:c r="F28" s="199"/>
      <x:c r="G28" s="199"/>
      <x:c r="H28" s="199" t="s">
        <x:v>181</x:v>
      </x:c>
      <x:c r="I28" s="199"/>
      <x:c r="J28" s="202"/>
      <x:c r="K28" s="202"/>
      <x:c r="L28" s="202"/>
      <x:c r="M28" s="202"/>
      <x:c r="N28" s="199" t="s">
        <x:v>175</x:v>
      </x:c>
      <x:c r="O28" s="199"/>
      <x:c r="P28" s="203"/>
      <x:c r="Q28" s="203"/>
      <x:c r="R28" s="22"/>
      <x:c r="S28" s="199" t="s">
        <x:v>149</x:v>
      </x:c>
      <x:c r="T28" s="199"/>
      <x:c r="U28" s="202"/>
      <x:c r="V28" s="202"/>
      <x:c r="W28" s="199" t="s">
        <x:v>292</x:v>
      </x:c>
      <x:c r="X28" s="199"/>
    </x:row>
    <x:row r="29" spans="21:22">
      <x:c r="U29" s="52"/>
      <x:c r="V29" s="52"/>
    </x:row>
    <x:row r="30" spans="16:17" hidden="1">
      <x:c r="P30" s="43" t="s">
        <x:v>158</x:v>
      </x:c>
      <x:c r="Q30" s="44"/>
    </x:row>
    <x:row r="31" spans="16:19" hidden="1">
      <x:c r="P31" s="50" t="s">
        <x:v>318</x:v>
      </x:c>
      <x:c r="Q31" s="50" t="s">
        <x:v>155</x:v>
      </x:c>
      <x:c r="R31" s="50"/>
      <x:c r="S31" s="50"/>
    </x:row>
    <x:row r="32" spans="16:19" hidden="1">
      <x:c r="P32" s="50" t="s">
        <x:v>177</x:v>
      </x:c>
      <x:c r="Q32" s="50" t="s">
        <x:v>169</x:v>
      </x:c>
      <x:c r="R32" s="50" t="s">
        <x:v>323</x:v>
      </x:c>
      <x:c r="S32" s="50"/>
    </x:row>
    <x:row r="33" hidden="1"/>
  </x:sheetData>
  <x:mergeCells count="100">
    <x:mergeCell ref="A2:X2"/>
    <x:mergeCell ref="A3:X3"/>
    <x:mergeCell ref="A4:X4"/>
    <x:mergeCell ref="A5:B7"/>
    <x:mergeCell ref="C5:D7"/>
    <x:mergeCell ref="E5:F7"/>
    <x:mergeCell ref="G5:H7"/>
    <x:mergeCell ref="I5:J7"/>
    <x:mergeCell ref="K5:L7"/>
    <x:mergeCell ref="M5:N7"/>
    <x:mergeCell ref="O5:X5"/>
    <x:mergeCell ref="A6:B7"/>
    <x:mergeCell ref="O6:P7"/>
    <x:mergeCell ref="Q6:R7"/>
    <x:mergeCell ref="S6:U6"/>
    <x:mergeCell ref="V6:W7"/>
    <x:mergeCell ref="X6:X7"/>
    <x:mergeCell ref="S7:T7"/>
    <x:mergeCell ref="A8:B8"/>
    <x:mergeCell ref="C8:D8"/>
    <x:mergeCell ref="E8:F8"/>
    <x:mergeCell ref="G8:H8"/>
    <x:mergeCell ref="I8:J8"/>
    <x:mergeCell ref="K8:L8"/>
    <x:mergeCell ref="M8:N8"/>
    <x:mergeCell ref="O8:P8"/>
    <x:mergeCell ref="Q8:R8"/>
    <x:mergeCell ref="S8:T8"/>
    <x:mergeCell ref="V8:W8"/>
    <x:mergeCell ref="A9:X9"/>
    <x:mergeCell ref="A10:H10"/>
    <x:mergeCell ref="I10:J11"/>
    <x:mergeCell ref="K10:P10"/>
    <x:mergeCell ref="Q10:U10"/>
    <x:mergeCell ref="V10:X11"/>
    <x:mergeCell ref="B11:C11"/>
    <x:mergeCell ref="D11:E11"/>
    <x:mergeCell ref="F11:H11"/>
    <x:mergeCell ref="K11:L11"/>
    <x:mergeCell ref="M11:P11"/>
    <x:mergeCell ref="R11:S11"/>
    <x:mergeCell ref="T11:U11"/>
    <x:mergeCell ref="B12:C12"/>
    <x:mergeCell ref="D12:E12"/>
    <x:mergeCell ref="F12:H12"/>
    <x:mergeCell ref="I12:J12"/>
    <x:mergeCell ref="K12:L12"/>
    <x:mergeCell ref="N12:P12"/>
    <x:mergeCell ref="R12:S12"/>
    <x:mergeCell ref="T12:U12"/>
    <x:mergeCell ref="V12:X12"/>
    <x:mergeCell ref="G13:H13"/>
    <x:mergeCell ref="K13:L13"/>
    <x:mergeCell ref="A14:H14"/>
    <x:mergeCell ref="I14:X14"/>
    <x:mergeCell ref="A15:H15"/>
    <x:mergeCell ref="I15:X15"/>
    <x:mergeCell ref="A16:H16"/>
    <x:mergeCell ref="I16:X16"/>
    <x:mergeCell ref="A17:H17"/>
    <x:mergeCell ref="I17:X17"/>
    <x:mergeCell ref="A20:H20"/>
    <x:mergeCell ref="I20:X20"/>
    <x:mergeCell ref="A21:H21"/>
    <x:mergeCell ref="I21:X21"/>
    <x:mergeCell ref="A22:H22"/>
    <x:mergeCell ref="I22:X22"/>
    <x:mergeCell ref="L24:P24"/>
    <x:mergeCell ref="E25:G25"/>
    <x:mergeCell ref="H25:I25"/>
    <x:mergeCell ref="J25:M25"/>
    <x:mergeCell ref="N25:O25"/>
    <x:mergeCell ref="P25:Q25"/>
    <x:mergeCell ref="S25:T25"/>
    <x:mergeCell ref="U25:V25"/>
    <x:mergeCell ref="W25:X25"/>
    <x:mergeCell ref="E26:G26"/>
    <x:mergeCell ref="H26:I26"/>
    <x:mergeCell ref="J26:M26"/>
    <x:mergeCell ref="N26:O26"/>
    <x:mergeCell ref="P26:Q26"/>
    <x:mergeCell ref="S26:T26"/>
    <x:mergeCell ref="U26:V26"/>
    <x:mergeCell ref="W26:X26"/>
    <x:mergeCell ref="E27:G27"/>
    <x:mergeCell ref="H27:I27"/>
    <x:mergeCell ref="J27:M27"/>
    <x:mergeCell ref="N27:O27"/>
    <x:mergeCell ref="P27:Q27"/>
    <x:mergeCell ref="S27:T27"/>
    <x:mergeCell ref="U27:V27"/>
    <x:mergeCell ref="W27:X27"/>
    <x:mergeCell ref="E28:G28"/>
    <x:mergeCell ref="H28:I28"/>
    <x:mergeCell ref="J28:M28"/>
    <x:mergeCell ref="N28:O28"/>
    <x:mergeCell ref="P28:Q28"/>
    <x:mergeCell ref="S28:T28"/>
    <x:mergeCell ref="U28:V28"/>
    <x:mergeCell ref="W28:X28"/>
  </x:mergeCells>
  <x:conditionalFormatting sqref="L24:P24">
    <x:cfRule type="cellIs" dxfId="13" priority="20" stopIfTrue="1" operator="equal">
      <x:formula>"[Ctrl + ;] 입력"</x:formula>
    </x:cfRule>
  </x:conditionalFormatting>
  <x:conditionalFormatting sqref="I16:X16">
    <x:cfRule type="expression" dxfId="12" priority="6" stopIfTrue="1">
      <x:formula>$I$16=""</x:formula>
    </x:cfRule>
  </x:conditionalFormatting>
  <x:conditionalFormatting sqref="I15:I15">
    <x:cfRule type="expression" dxfId="14" priority="2" stopIfTrue="1">
      <x:formula>$I$15=""</x:formula>
    </x:cfRule>
  </x:conditionalFormatting>
  <x:conditionalFormatting sqref="I17:X17">
    <x:cfRule type="expression" dxfId="12" priority="1" stopIfTrue="1">
      <x:formula>$I$17=""</x:formula>
    </x:cfRule>
  </x:conditionalFormatting>
  <x:dataValidations count="5">
    <x:dataValidation type="list" errorStyle="information" allowBlank="1" showInputMessage="1" showErrorMessage="1" errorTitle="입력오류" error="목록에서 선택해 주세요!" sqref="P27:Q27">
      <x:formula1>$P$31:$S$31</x:formula1>
    </x:dataValidation>
    <x:dataValidation type="list" errorStyle="information" allowBlank="1" showInputMessage="1" showErrorMessage="1" errorTitle="입력오류" error="목록에서 선택해 주세요!" sqref="P28:Q28">
      <x:formula1>$P$32:$S$32</x:formula1>
    </x:dataValidation>
    <x:dataValidation type="list" errorStyle="information" allowBlank="1" showInputMessage="1" showErrorMessage="1" errorTitle="입력오류" error="목록에서 선택해 주세요!" sqref="Q12:R12 T12:T12 K12:K12">
      <x:formula1>$P$30:$Q$30</x:formula1>
    </x:dataValidation>
    <x:dataValidation type="list" allowBlank="1" showInputMessage="1" sqref="M12:M12">
      <x:formula1>"일부위탁, 전부위탁"</x:formula1>
    </x:dataValidation>
    <x:dataValidation allowBlank="1" showInputMessage="1" showErrorMessage="1" prompt="해당 항목 번호와 지적사항 기재_x000a__x000a_예) 4. 건강진단 실시 미준수_x000a_     7. 조리전, 후 용기 구분 미흡_x000a_       " sqref="I15:X15"/>
  </x:dataValidations>
  <x:printOptions horizontalCentered="1" verticalCentered="1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96" firstPageNumber="1" fitToWidth="1" fitToHeight="0" orientation="portrait" usePrinterDefaults="1" blackAndWhite="0" draft="0" useFirstPageNumber="0" horizontalDpi="600" verticalDpi="600" copies="1"/>
  <x:colBreaks count="1" manualBreakCount="1">
    <x:brk id="24" min="0" max="16383" man="1" pt="0"/>
  </x:col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ccffff"/>
    <x:pageSetUpPr autoPageBreaks="1" fitToPage="1"/>
  </x:sheetPr>
  <x:dimension ref="A1:P69"/>
  <x:sheetViews>
    <x:sheetView showGridLines="0" view="pageBreakPreview" topLeftCell="A1" zoomScaleNormal="100" zoomScaleSheetLayoutView="100" workbookViewId="0">
      <x:pane xSplit="0" ySplit="4" topLeftCell="A14" activePane="bottomLeft" state="frozen"/>
      <x:selection pane="bottomLeft" activeCell="E15" activeCellId="0" sqref="E15:E15"/>
    </x:sheetView>
  </x:sheetViews>
  <x:sheetFormatPr defaultColWidth="8.796875" defaultRowHeight="13.55000000000000071054"/>
  <x:cols>
    <x:col min="1" max="1" width="4.21875" style="1" customWidth="1"/>
    <x:col min="2" max="2" width="32" style="1" customWidth="1"/>
    <x:col min="3" max="3" width="6.30078125" style="1" bestFit="1" customWidth="1"/>
    <x:col min="4" max="4" width="17" style="1" customWidth="1"/>
    <x:col min="5" max="5" width="18.109375" style="6" customWidth="1"/>
    <x:col min="6" max="6" width="4.44140625" style="6" bestFit="1" customWidth="1"/>
    <x:col min="7" max="7" width="2.77734375" style="1" customWidth="1"/>
    <x:col min="8" max="8" width="8.77734375" style="55" customWidth="1"/>
    <x:col min="9" max="13" width="9.109375" style="55" hidden="1" customWidth="1"/>
    <x:col min="14" max="14" width="9.109375" style="56" hidden="1" customWidth="1"/>
    <x:col min="15" max="15" width="9.109375" style="1" hidden="1" customWidth="1"/>
    <x:col min="16" max="17" width="8.88671875" style="1" customWidth="1"/>
    <x:col min="18" max="256" width="8.88671875" style="1"/>
  </x:cols>
  <x:sheetData>
    <x:row r="1" spans="1:16" s="29" customFormat="1" ht="30" customHeight="1">
      <x:c r="A1" s="14" t="s">
        <x:v>356</x:v>
      </x:c>
      <x:c r="B1" s="14"/>
      <x:c r="C1" s="14"/>
      <x:c r="D1" s="28"/>
      <x:c r="E1" s="4"/>
      <x:c r="F1" s="63"/>
      <x:c r="G1" s="1"/>
      <x:c r="H1" s="15"/>
      <x:c r="I1" s="15"/>
      <x:c r="J1" s="15"/>
      <x:c r="K1" s="15"/>
      <x:c r="L1" s="15"/>
      <x:c r="M1" s="15"/>
      <x:c r="N1" s="1"/>
      <x:c r="O1" s="1"/>
      <x:c r="P1" s="48"/>
    </x:row>
    <x:row r="2" spans="1:16" s="2" customFormat="1" ht="30" customHeight="1">
      <x:c r="A2" s="22" t="s">
        <x:v>237</x:v>
      </x:c>
      <x:c r="B2" s="39"/>
      <x:c r="C2" s="39"/>
      <x:c r="D2" s="39"/>
      <x:c r="E2" s="39"/>
      <x:c r="F2" s="2" t="s">
        <x:v>316</x:v>
      </x:c>
      <x:c r="G2" s="2">
        <x:f>SUM(F5:F20)</x:f>
        <x:v>48</x:v>
      </x:c>
      <x:c r="H2" s="2" t="s">
        <x:v>180</x:v>
      </x:c>
      <x:c r="I2"/>
      <x:c r="J2"/>
      <x:c r="K2"/>
      <x:c r="L2" s="30"/>
      <x:c r="M2" s="30"/>
      <x:c r="N2" s="29"/>
      <x:c r="O2" s="46"/>
      <x:c r="P2" s="48"/>
    </x:row>
    <x:row r="3" spans="6:16">
      <x:c r="F3" s="58" t="s">
        <x:v>231</x:v>
      </x:c>
      <x:c r="P3" s="47"/>
    </x:row>
    <x:row r="4" spans="1:16" ht="40.5" customHeight="1">
      <x:c r="A4" s="115" t="s">
        <x:v>167</x:v>
      </x:c>
      <x:c r="B4" s="115" t="s">
        <x:v>302</x:v>
      </x:c>
      <x:c r="C4" s="204" t="s">
        <x:v>335</x:v>
      </x:c>
      <x:c r="D4" s="205"/>
      <x:c r="E4" s="115" t="s">
        <x:v>183</x:v>
      </x:c>
      <x:c r="F4" s="74" t="s">
        <x:v>172</x:v>
      </x:c>
      <x:c r="P4" s="47"/>
    </x:row>
    <x:row r="5" spans="1:15" ht="55.5" customHeight="1">
      <x:c r="A5" s="206" t="s">
        <x:v>300</x:v>
      </x:c>
      <x:c r="B5" s="7" t="s">
        <x:v>57</x:v>
      </x:c>
      <x:c r="C5" s="71" t="str">
        <x:f>IF(F5=0,"부적합","적합")</x:f>
        <x:v>적합</x:v>
      </x:c>
      <x:c r="D5" s="87" t="s">
        <x:v>360</x:v>
      </x:c>
      <x:c r="E5" s="136" t="s">
        <x:v>294</x:v>
      </x:c>
      <x:c r="F5" s="8">
        <x:v>3</x:v>
      </x:c>
      <x:c r="I5" s="49" t="s">
        <x:v>280</x:v>
      </x:c>
      <x:c r="J5" s="49" t="s">
        <x:v>230</x:v>
      </x:c>
      <x:c r="K5" s="49"/>
      <x:c r="L5" s="49"/>
      <x:c r="M5" s="49"/>
      <x:c r="N5" s="49"/>
      <x:c r="O5" s="49"/>
    </x:row>
    <x:row r="6" spans="1:15" ht="55.5" customHeight="1">
      <x:c r="A6" s="207"/>
      <x:c r="B6" s="9" t="s">
        <x:v>78</x:v>
      </x:c>
      <x:c r="C6" s="71" t="str">
        <x:f t="shared" ref="C6:C20" si="0">IF(F6=0,"부적합","적합")</x:f>
        <x:v>적합</x:v>
      </x:c>
      <x:c r="D6" s="87" t="s">
        <x:v>23</x:v>
      </x:c>
      <x:c r="E6" s="136" t="s">
        <x:v>285</x:v>
      </x:c>
      <x:c r="F6" s="8">
        <x:v>3</x:v>
      </x:c>
      <x:c r="I6" s="49" t="s">
        <x:v>201</x:v>
      </x:c>
      <x:c r="J6" s="49" t="s">
        <x:v>190</x:v>
      </x:c>
      <x:c r="K6" s="49" t="s">
        <x:v>116</x:v>
      </x:c>
      <x:c r="L6" s="49" t="s">
        <x:v>87</x:v>
      </x:c>
      <x:c r="M6" s="49"/>
      <x:c r="N6" s="49"/>
      <x:c r="O6" s="49"/>
    </x:row>
    <x:row r="7" spans="1:15" ht="55.5" customHeight="1">
      <x:c r="A7" s="207"/>
      <x:c r="B7" s="9" t="s">
        <x:v>61</x:v>
      </x:c>
      <x:c r="C7" s="71" t="str">
        <x:f t="shared" si="0"/>
        <x:v>적합</x:v>
      </x:c>
      <x:c r="D7" s="62" t="s">
        <x:v>45</x:v>
      </x:c>
      <x:c r="E7" s="8" t="str">
        <x:f>IF(F7=0,"지도 사항을 상세히 기재해 주세요!","")</x:f>
        <x:v/>
      </x:c>
      <x:c r="F7" s="8">
        <x:v>3</x:v>
      </x:c>
      <x:c r="I7" s="49"/>
      <x:c r="J7" s="49"/>
      <x:c r="K7" s="49"/>
      <x:c r="L7" s="49"/>
      <x:c r="M7" s="49"/>
      <x:c r="N7" s="49"/>
      <x:c r="O7" s="49"/>
    </x:row>
    <x:row r="8" spans="1:15" ht="55.5" customHeight="1">
      <x:c r="A8" s="207" t="s">
        <x:v>305</x:v>
      </x:c>
      <x:c r="B8" s="9" t="s">
        <x:v>36</x:v>
      </x:c>
      <x:c r="C8" s="71" t="str">
        <x:f t="shared" si="0"/>
        <x:v>적합</x:v>
      </x:c>
      <x:c r="D8" s="62" t="s">
        <x:v>68</x:v>
      </x:c>
      <x:c r="E8" s="137" t="s">
        <x:v>0</x:v>
      </x:c>
      <x:c r="F8" s="8">
        <x:v>3</x:v>
      </x:c>
      <x:c r="I8" s="49" t="s">
        <x:v>361</x:v>
      </x:c>
      <x:c r="J8" s="49"/>
      <x:c r="K8" s="49"/>
      <x:c r="L8" s="49"/>
      <x:c r="M8" s="49"/>
      <x:c r="N8" s="49"/>
      <x:c r="O8" s="49"/>
    </x:row>
    <x:row r="9" spans="1:15" ht="55.5" customHeight="1">
      <x:c r="A9" s="207"/>
      <x:c r="B9" s="9" t="s">
        <x:v>56</x:v>
      </x:c>
      <x:c r="C9" s="71" t="str">
        <x:f t="shared" si="0"/>
        <x:v>적합</x:v>
      </x:c>
      <x:c r="D9" s="62" t="s">
        <x:v>29</x:v>
      </x:c>
      <x:c r="E9" s="89" t="str">
        <x:f>IF(F9=0,"지도 사항을 상세히 기재해 주세요!","")</x:f>
        <x:v/>
      </x:c>
      <x:c r="F9" s="8">
        <x:v>3</x:v>
      </x:c>
      <x:c r="I9" s="49" t="s">
        <x:v>121</x:v>
      </x:c>
      <x:c r="J9" s="49" t="s">
        <x:v>367</x:v>
      </x:c>
      <x:c r="K9" s="49" t="s">
        <x:v>106</x:v>
      </x:c>
      <x:c r="L9" s="49" t="s">
        <x:v>140</x:v>
      </x:c>
      <x:c r="M9" s="49"/>
      <x:c r="N9" s="49"/>
      <x:c r="O9" s="49"/>
    </x:row>
    <x:row r="10" spans="1:15" ht="72" customHeight="1">
      <x:c r="A10" s="88" t="s">
        <x:v>270</x:v>
      </x:c>
      <x:c r="B10" s="9" t="s">
        <x:v>33</x:v>
      </x:c>
      <x:c r="C10" s="71" t="str">
        <x:f t="shared" si="0"/>
        <x:v>적합</x:v>
      </x:c>
      <x:c r="D10" s="62" t="s">
        <x:v>17</x:v>
      </x:c>
      <x:c r="E10" s="8" t="s">
        <x:v>238</x:v>
      </x:c>
      <x:c r="F10" s="8">
        <x:v>3</x:v>
      </x:c>
      <x:c r="I10" s="49" t="s">
        <x:v>114</x:v>
      </x:c>
      <x:c r="J10" s="49" t="s">
        <x:v>340</x:v>
      </x:c>
      <x:c r="K10" s="49" t="s">
        <x:v>268</x:v>
      </x:c>
      <x:c r="L10" s="49" t="s">
        <x:v>204</x:v>
      </x:c>
      <x:c r="M10" s="49" t="s">
        <x:v>263</x:v>
      </x:c>
      <x:c r="N10" s="49" t="s">
        <x:v>242</x:v>
      </x:c>
      <x:c r="O10" s="49"/>
    </x:row>
    <x:row r="11" spans="1:15" ht="82.5" customHeight="1">
      <x:c r="A11" s="208" t="s">
        <x:v>319</x:v>
      </x:c>
      <x:c r="B11" s="9" t="s">
        <x:v>80</x:v>
      </x:c>
      <x:c r="C11" s="71" t="str">
        <x:f t="shared" si="0"/>
        <x:v>적합</x:v>
      </x:c>
      <x:c r="D11" s="62" t="s">
        <x:v>66</x:v>
      </x:c>
      <x:c r="E11" s="8" t="s">
        <x:v>285</x:v>
      </x:c>
      <x:c r="F11" s="8">
        <x:v>3</x:v>
      </x:c>
      <x:c r="I11" s="49" t="s">
        <x:v>19</x:v>
      </x:c>
      <x:c r="J11" s="49" t="s">
        <x:v>353</x:v>
      </x:c>
      <x:c r="K11" s="49" t="s">
        <x:v>332</x:v>
      </x:c>
      <x:c r="L11" s="49" t="s">
        <x:v>22</x:v>
      </x:c>
      <x:c r="M11" s="49" t="s">
        <x:v>349</x:v>
      </x:c>
      <x:c r="N11" s="49"/>
      <x:c r="O11" s="49"/>
    </x:row>
    <x:row r="12" spans="1:15" ht="66" customHeight="1">
      <x:c r="A12" s="209"/>
      <x:c r="B12" s="10" t="s">
        <x:v>59</x:v>
      </x:c>
      <x:c r="C12" s="71" t="str">
        <x:f t="shared" si="0"/>
        <x:v>적합</x:v>
      </x:c>
      <x:c r="D12" s="62" t="s">
        <x:v>41</x:v>
      </x:c>
      <x:c r="E12" s="89" t="str">
        <x:f t="shared" ref="E12:E20" si="1">IF(F12=0,"지도 사항을 상세히 기재해 주세요!","")</x:f>
        <x:v/>
      </x:c>
      <x:c r="F12" s="8">
        <x:v>3</x:v>
      </x:c>
      <x:c r="I12" s="49" t="s">
        <x:v>199</x:v>
      </x:c>
      <x:c r="J12" s="49" t="s">
        <x:v>131</x:v>
      </x:c>
      <x:c r="K12" s="49" t="s">
        <x:v>120</x:v>
      </x:c>
      <x:c r="L12" s="49" t="s">
        <x:v>105</x:v>
      </x:c>
      <x:c r="M12" s="49"/>
      <x:c r="N12" s="49"/>
      <x:c r="O12" s="49"/>
    </x:row>
    <x:row r="13" spans="1:15" ht="55.5" customHeight="1">
      <x:c r="A13" s="209"/>
      <x:c r="B13" s="9" t="s">
        <x:v>82</x:v>
      </x:c>
      <x:c r="C13" s="71" t="str">
        <x:f t="shared" si="0"/>
        <x:v>적합</x:v>
      </x:c>
      <x:c r="D13" s="62" t="s">
        <x:v>146</x:v>
      </x:c>
      <x:c r="E13" s="8" t="str">
        <x:f t="shared" si="1"/>
        <x:v/>
      </x:c>
      <x:c r="F13" s="8">
        <x:v>3</x:v>
      </x:c>
      <x:c r="I13" s="49" t="s">
        <x:v>348</x:v>
      </x:c>
      <x:c r="J13" s="49" t="s">
        <x:v>336</x:v>
      </x:c>
      <x:c r="K13" s="49" t="s">
        <x:v>339</x:v>
      </x:c>
      <x:c r="L13" s="49" t="s">
        <x:v>334</x:v>
      </x:c>
      <x:c r="M13" s="49" t="s">
        <x:v>370</x:v>
      </x:c>
      <x:c r="N13" s="49" t="s">
        <x:v>214</x:v>
      </x:c>
      <x:c r="O13" s="49"/>
    </x:row>
    <x:row r="14" spans="1:15" ht="66" customHeight="1">
      <x:c r="A14" s="210"/>
      <x:c r="B14" s="9" t="s">
        <x:v>21</x:v>
      </x:c>
      <x:c r="C14" s="71" t="str">
        <x:f t="shared" si="0"/>
        <x:v>적합</x:v>
      </x:c>
      <x:c r="D14" s="62" t="s">
        <x:v>222</x:v>
      </x:c>
      <x:c r="E14" s="89" t="str">
        <x:f t="shared" si="1"/>
        <x:v/>
      </x:c>
      <x:c r="F14" s="8">
        <x:v>3</x:v>
      </x:c>
      <x:c r="I14" s="49" t="s">
        <x:v>250</x:v>
      </x:c>
      <x:c r="J14" s="49" t="s">
        <x:v>212</x:v>
      </x:c>
      <x:c r="K14" s="49" t="s">
        <x:v>85</x:v>
      </x:c>
      <x:c r="L14" s="49"/>
      <x:c r="M14" s="49"/>
      <x:c r="N14" s="49"/>
      <x:c r="O14" s="49"/>
    </x:row>
    <x:row r="15" spans="1:15" ht="55.5" customHeight="1">
      <x:c r="A15" s="208" t="s">
        <x:v>319</x:v>
      </x:c>
      <x:c r="B15" s="10" t="s">
        <x:v>39</x:v>
      </x:c>
      <x:c r="C15" s="71" t="str">
        <x:f t="shared" si="0"/>
        <x:v>적합</x:v>
      </x:c>
      <x:c r="D15" s="62" t="s">
        <x:v>338</x:v>
      </x:c>
      <x:c r="E15" s="8" t="str">
        <x:f t="shared" si="1"/>
        <x:v/>
      </x:c>
      <x:c r="F15" s="8">
        <x:v>3</x:v>
      </x:c>
      <x:c r="I15" s="49" t="s">
        <x:v>189</x:v>
      </x:c>
      <x:c r="J15" s="49" t="s">
        <x:v>358</x:v>
      </x:c>
      <x:c r="K15" s="49" t="s">
        <x:v>357</x:v>
      </x:c>
      <x:c r="L15" s="49" t="s">
        <x:v>88</x:v>
      </x:c>
      <x:c r="M15" s="49"/>
      <x:c r="N15" s="49"/>
      <x:c r="O15" s="49"/>
    </x:row>
    <x:row r="16" spans="1:15" ht="47.79999999999999715783">
      <x:c r="A16" s="209"/>
      <x:c r="B16" s="10" t="s">
        <x:v>84</x:v>
      </x:c>
      <x:c r="C16" s="71" t="str">
        <x:f t="shared" si="0"/>
        <x:v>적합</x:v>
      </x:c>
      <x:c r="D16" s="95" t="s">
        <x:v>373</x:v>
      </x:c>
      <x:c r="E16" s="8" t="s">
        <x:v>285</x:v>
      </x:c>
      <x:c r="F16" s="8">
        <x:v>3</x:v>
      </x:c>
      <x:c r="I16" s="49" t="s">
        <x:v>359</x:v>
      </x:c>
      <x:c r="J16" s="49" t="s">
        <x:v>126</x:v>
      </x:c>
      <x:c r="K16" s="49"/>
      <x:c r="L16" s="49"/>
      <x:c r="M16" s="49"/>
      <x:c r="N16" s="49"/>
      <x:c r="O16" s="49"/>
    </x:row>
    <x:row r="17" spans="1:15" ht="39" customHeight="1">
      <x:c r="A17" s="210"/>
      <x:c r="B17" s="10" t="s">
        <x:v>37</x:v>
      </x:c>
      <x:c r="C17" s="71" t="str">
        <x:f t="shared" si="0"/>
        <x:v>적합</x:v>
      </x:c>
      <x:c r="D17" s="72" t="s">
        <x:v>26</x:v>
      </x:c>
      <x:c r="E17" s="8" t="s">
        <x:v>285</x:v>
      </x:c>
      <x:c r="F17" s="8">
        <x:v>3</x:v>
      </x:c>
      <x:c r="I17" s="49"/>
      <x:c r="J17" s="49"/>
      <x:c r="K17" s="49"/>
      <x:c r="L17" s="49"/>
      <x:c r="M17" s="49"/>
      <x:c r="N17" s="49"/>
      <x:c r="O17" s="49"/>
    </x:row>
    <x:row r="18" spans="1:15" ht="66" customHeight="1">
      <x:c r="A18" s="207" t="s">
        <x:v>249</x:v>
      </x:c>
      <x:c r="B18" s="9" t="s">
        <x:v>1</x:v>
      </x:c>
      <x:c r="C18" s="71" t="str">
        <x:f t="shared" si="0"/>
        <x:v>적합</x:v>
      </x:c>
      <x:c r="D18" s="62" t="s">
        <x:v>63</x:v>
      </x:c>
      <x:c r="E18" s="89" t="str">
        <x:f t="shared" si="1"/>
        <x:v/>
      </x:c>
      <x:c r="F18" s="8">
        <x:v>3</x:v>
      </x:c>
      <x:c r="I18" s="49" t="s">
        <x:v>362</x:v>
      </x:c>
      <x:c r="J18" s="49" t="s">
        <x:v>321</x:v>
      </x:c>
      <x:c r="K18" s="49"/>
      <x:c r="L18" s="49"/>
      <x:c r="M18" s="49"/>
      <x:c r="N18" s="49"/>
      <x:c r="O18" s="49"/>
    </x:row>
    <x:row r="19" spans="1:15" ht="55.5" customHeight="1">
      <x:c r="A19" s="207"/>
      <x:c r="B19" s="9" t="s">
        <x:v>79</x:v>
      </x:c>
      <x:c r="C19" s="71" t="str">
        <x:f t="shared" si="0"/>
        <x:v>적합</x:v>
      </x:c>
      <x:c r="D19" s="62" t="s">
        <x:v>233</x:v>
      </x:c>
      <x:c r="E19" s="8" t="str">
        <x:f t="shared" si="1"/>
        <x:v/>
      </x:c>
      <x:c r="F19" s="8">
        <x:v>3</x:v>
      </x:c>
      <x:c r="I19" s="49" t="s">
        <x:v>331</x:v>
      </x:c>
      <x:c r="J19" s="49" t="s">
        <x:v>100</x:v>
      </x:c>
      <x:c r="K19" s="49"/>
      <x:c r="L19" s="49"/>
      <x:c r="M19" s="49"/>
      <x:c r="N19" s="49"/>
      <x:c r="O19" s="49"/>
    </x:row>
    <x:row r="20" spans="1:15" ht="66" customHeight="1">
      <x:c r="A20" s="90" t="s">
        <x:v>278</x:v>
      </x:c>
      <x:c r="B20" s="9" t="s">
        <x:v>70</x:v>
      </x:c>
      <x:c r="C20" s="71" t="str">
        <x:f t="shared" si="0"/>
        <x:v>적합</x:v>
      </x:c>
      <x:c r="D20" s="72" t="s">
        <x:v>379</x:v>
      </x:c>
      <x:c r="E20" s="89" t="str">
        <x:f t="shared" si="1"/>
        <x:v/>
      </x:c>
      <x:c r="F20" s="8">
        <x:v>3</x:v>
      </x:c>
      <x:c r="I20" s="49" t="s">
        <x:v>314</x:v>
      </x:c>
      <x:c r="J20" s="49" t="s">
        <x:v>128</x:v>
      </x:c>
      <x:c r="K20" s="49" t="s">
        <x:v>94</x:v>
      </x:c>
      <x:c r="L20" s="49" t="s">
        <x:v>273</x:v>
      </x:c>
      <x:c r="M20" s="49"/>
      <x:c r="N20" s="49"/>
      <x:c r="O20" s="49"/>
    </x:row>
    <x:row r="21" spans="1:4">
      <x:c r="A21" s="5"/>
      <x:c r="B21" s="5"/>
      <x:c r="C21" s="5"/>
      <x:c r="D21" s="5"/>
    </x:row>
    <x:row r="22" spans="1:4">
      <x:c r="A22" s="5"/>
      <x:c r="B22" s="5"/>
      <x:c r="C22" s="5"/>
      <x:c r="D22" s="5"/>
    </x:row>
    <x:row r="23" spans="1:4">
      <x:c r="A23" s="5"/>
      <x:c r="B23" s="5"/>
      <x:c r="C23" s="5"/>
      <x:c r="D23" s="5"/>
    </x:row>
    <x:row r="24" spans="1:4" hidden="1">
      <x:c r="A24" s="5"/>
      <x:c r="B24" s="5"/>
      <x:c r="C24" s="5"/>
      <x:c r="D24" s="5"/>
    </x:row>
    <x:row r="25" spans="1:4" hidden="1">
      <x:c r="A25" s="5"/>
      <x:c r="B25" s="5"/>
      <x:c r="C25" s="5"/>
      <x:c r="D25" s="50">
        <x:v>3</x:v>
      </x:c>
    </x:row>
    <x:row r="26" spans="1:4" hidden="1">
      <x:c r="A26" s="5"/>
      <x:c r="B26" s="5"/>
      <x:c r="C26" s="5"/>
      <x:c r="D26" s="50">
        <x:v>0</x:v>
      </x:c>
    </x:row>
    <x:row r="27" spans="1:4" hidden="1">
      <x:c r="A27" s="5"/>
      <x:c r="B27" s="5"/>
      <x:c r="C27" s="5"/>
      <x:c r="D27" s="5"/>
    </x:row>
    <x:row r="28" spans="1:4">
      <x:c r="A28" s="5"/>
      <x:c r="B28" s="5"/>
      <x:c r="C28" s="5"/>
      <x:c r="D28" s="5"/>
    </x:row>
    <x:row r="29" spans="1:4">
      <x:c r="A29" s="5"/>
      <x:c r="B29" s="5"/>
      <x:c r="C29" s="5"/>
      <x:c r="D29" s="5"/>
    </x:row>
    <x:row r="30" spans="1:4">
      <x:c r="A30" s="5"/>
      <x:c r="B30" s="5"/>
      <x:c r="C30" s="5"/>
      <x:c r="D30" s="5"/>
    </x:row>
    <x:row r="31" spans="1:4">
      <x:c r="A31" s="5"/>
      <x:c r="B31" s="5"/>
      <x:c r="C31" s="5"/>
      <x:c r="D31" s="5"/>
    </x:row>
    <x:row r="32" spans="1:4">
      <x:c r="A32" s="5"/>
      <x:c r="B32" s="5"/>
      <x:c r="C32" s="5"/>
      <x:c r="D32" s="5"/>
    </x:row>
    <x:row r="33" spans="1:4">
      <x:c r="A33" s="5"/>
      <x:c r="B33" s="5"/>
      <x:c r="C33" s="5"/>
      <x:c r="D33" s="5"/>
    </x:row>
    <x:row r="34" spans="1:4">
      <x:c r="A34" s="5"/>
      <x:c r="B34" s="5"/>
      <x:c r="C34" s="5"/>
      <x:c r="D34" s="5"/>
    </x:row>
    <x:row r="35" spans="1:4">
      <x:c r="A35" s="5"/>
      <x:c r="B35" s="5"/>
      <x:c r="C35" s="5"/>
      <x:c r="D35" s="5"/>
    </x:row>
    <x:row r="36" spans="1:4">
      <x:c r="A36" s="5"/>
      <x:c r="B36" s="5"/>
      <x:c r="C36" s="5"/>
      <x:c r="D36" s="5"/>
    </x:row>
    <x:row r="37" spans="1:4">
      <x:c r="A37" s="5"/>
      <x:c r="B37" s="5"/>
      <x:c r="C37" s="5"/>
      <x:c r="D37" s="5"/>
    </x:row>
    <x:row r="38" spans="1:4">
      <x:c r="A38" s="5"/>
      <x:c r="B38" s="5"/>
      <x:c r="C38" s="5"/>
      <x:c r="D38" s="5"/>
    </x:row>
    <x:row r="39" spans="1:4">
      <x:c r="A39" s="5"/>
      <x:c r="B39" s="5"/>
      <x:c r="C39" s="5"/>
      <x:c r="D39" s="5"/>
    </x:row>
    <x:row r="40" spans="1:4">
      <x:c r="A40" s="5"/>
      <x:c r="B40" s="5"/>
      <x:c r="C40" s="5"/>
      <x:c r="D40" s="5"/>
    </x:row>
    <x:row r="41" spans="1:4">
      <x:c r="A41" s="5"/>
      <x:c r="B41" s="5"/>
      <x:c r="C41" s="5"/>
      <x:c r="D41" s="5"/>
    </x:row>
    <x:row r="42" spans="1:4">
      <x:c r="A42" s="5"/>
      <x:c r="B42" s="5"/>
      <x:c r="C42" s="5"/>
      <x:c r="D42" s="5"/>
    </x:row>
    <x:row r="43" spans="1:4">
      <x:c r="A43" s="5"/>
      <x:c r="B43" s="5"/>
      <x:c r="C43" s="5"/>
      <x:c r="D43" s="5"/>
    </x:row>
    <x:row r="44" spans="1:4">
      <x:c r="A44" s="5"/>
      <x:c r="B44" s="5"/>
      <x:c r="C44" s="5"/>
      <x:c r="D44" s="5"/>
    </x:row>
    <x:row r="45" spans="1:4">
      <x:c r="A45" s="5"/>
      <x:c r="B45" s="5"/>
      <x:c r="C45" s="5"/>
      <x:c r="D45" s="5"/>
    </x:row>
    <x:row r="46" spans="1:4">
      <x:c r="A46" s="5"/>
      <x:c r="B46" s="5"/>
      <x:c r="C46" s="5"/>
      <x:c r="D46" s="5"/>
    </x:row>
    <x:row r="47" spans="1:4">
      <x:c r="A47" s="5"/>
      <x:c r="B47" s="5"/>
      <x:c r="C47" s="5"/>
      <x:c r="D47" s="5"/>
    </x:row>
    <x:row r="48" spans="1:4">
      <x:c r="A48" s="5"/>
      <x:c r="B48" s="5"/>
      <x:c r="C48" s="5"/>
      <x:c r="D48" s="5"/>
    </x:row>
    <x:row r="49" spans="1:4">
      <x:c r="A49" s="5"/>
      <x:c r="B49" s="5"/>
      <x:c r="C49" s="5"/>
      <x:c r="D49" s="5"/>
    </x:row>
    <x:row r="50" spans="1:4">
      <x:c r="A50" s="5"/>
      <x:c r="B50" s="5"/>
      <x:c r="C50" s="5"/>
      <x:c r="D50" s="5"/>
    </x:row>
    <x:row r="51" spans="1:4">
      <x:c r="A51" s="5"/>
      <x:c r="B51" s="5"/>
      <x:c r="C51" s="5"/>
      <x:c r="D51" s="5"/>
    </x:row>
    <x:row r="52" spans="1:4">
      <x:c r="A52" s="5"/>
      <x:c r="B52" s="5"/>
      <x:c r="C52" s="5"/>
      <x:c r="D52" s="5"/>
    </x:row>
    <x:row r="53" spans="1:4">
      <x:c r="A53" s="5"/>
      <x:c r="B53" s="5"/>
      <x:c r="C53" s="5"/>
      <x:c r="D53" s="5"/>
    </x:row>
    <x:row r="54" spans="1:4">
      <x:c r="A54" s="5"/>
      <x:c r="B54" s="5"/>
      <x:c r="C54" s="5"/>
      <x:c r="D54" s="5"/>
    </x:row>
    <x:row r="55" spans="1:4">
      <x:c r="A55" s="5"/>
      <x:c r="B55" s="5"/>
      <x:c r="C55" s="5"/>
      <x:c r="D55" s="5"/>
    </x:row>
    <x:row r="56" spans="1:4">
      <x:c r="A56" s="5"/>
      <x:c r="B56" s="5"/>
      <x:c r="C56" s="5"/>
      <x:c r="D56" s="5"/>
    </x:row>
    <x:row r="57" spans="1:4">
      <x:c r="A57" s="5"/>
      <x:c r="B57" s="5"/>
      <x:c r="C57" s="5"/>
      <x:c r="D57" s="5"/>
    </x:row>
    <x:row r="58" spans="1:4">
      <x:c r="A58" s="5"/>
      <x:c r="B58" s="5"/>
      <x:c r="C58" s="5"/>
      <x:c r="D58" s="5"/>
    </x:row>
    <x:row r="59" spans="1:4">
      <x:c r="A59" s="5"/>
      <x:c r="B59" s="5"/>
      <x:c r="C59" s="5"/>
      <x:c r="D59" s="5"/>
    </x:row>
    <x:row r="60" spans="1:4">
      <x:c r="A60" s="5"/>
      <x:c r="B60" s="5"/>
      <x:c r="C60" s="5"/>
      <x:c r="D60" s="5"/>
    </x:row>
    <x:row r="61" spans="1:4">
      <x:c r="A61" s="5"/>
      <x:c r="B61" s="5"/>
      <x:c r="C61" s="5"/>
      <x:c r="D61" s="5"/>
    </x:row>
    <x:row r="62" spans="1:4">
      <x:c r="A62" s="5"/>
      <x:c r="B62" s="5"/>
      <x:c r="C62" s="5"/>
      <x:c r="D62" s="5"/>
    </x:row>
    <x:row r="63" spans="1:4">
      <x:c r="A63" s="5"/>
      <x:c r="B63" s="5"/>
      <x:c r="C63" s="5"/>
      <x:c r="D63" s="5"/>
    </x:row>
    <x:row r="64" spans="1:4">
      <x:c r="A64" s="5"/>
      <x:c r="B64" s="5"/>
      <x:c r="C64" s="5"/>
      <x:c r="D64" s="5"/>
    </x:row>
    <x:row r="65" spans="1:4">
      <x:c r="A65" s="5"/>
      <x:c r="B65" s="5"/>
      <x:c r="C65" s="5"/>
      <x:c r="D65" s="5"/>
    </x:row>
    <x:row r="66" spans="1:4">
      <x:c r="A66" s="5"/>
      <x:c r="B66" s="5"/>
      <x:c r="C66" s="5"/>
      <x:c r="D66" s="5"/>
    </x:row>
    <x:row r="67" spans="1:4">
      <x:c r="A67" s="5"/>
      <x:c r="B67" s="5"/>
      <x:c r="C67" s="5"/>
      <x:c r="D67" s="5"/>
    </x:row>
    <x:row r="68" spans="1:4">
      <x:c r="A68" s="5"/>
      <x:c r="B68" s="5"/>
      <x:c r="C68" s="5"/>
      <x:c r="D68" s="5"/>
    </x:row>
    <x:row r="69" spans="1:4">
      <x:c r="A69" s="5"/>
      <x:c r="B69" s="5"/>
      <x:c r="C69" s="5"/>
      <x:c r="D69" s="5"/>
    </x:row>
  </x:sheetData>
  <x:mergeCells count="6">
    <x:mergeCell ref="C4:D4"/>
    <x:mergeCell ref="A5:A7"/>
    <x:mergeCell ref="A8:A9"/>
    <x:mergeCell ref="A11:A14"/>
    <x:mergeCell ref="A15:A17"/>
    <x:mergeCell ref="A18:A19"/>
  </x:mergeCells>
  <x:conditionalFormatting sqref="F5:F20">
    <x:cfRule type="cellIs" dxfId="12" priority="1" stopIfTrue="1" operator="equal">
      <x:formula>""</x:formula>
    </x:cfRule>
  </x:conditionalFormatting>
  <x:dataValidations count="2">
    <x:dataValidation type="list" allowBlank="1" showInputMessage="1" showErrorMessage="1" errorTitle="입력오류" error="목록에서 선택하거나_x000a_3 또는 0을 입력해주세요!" sqref="F5:F20">
      <x:formula1>$D$25:$D$26</x:formula1>
    </x:dataValidation>
    <x:dataValidation type="list" errorStyle="information" allowBlank="1" showInputMessage="1" showErrorMessage="1" errorTitle="입력주의사항" error="목록에서 선택해주세요!_x000a_직접입력시 [확인]을 눌러주세요." sqref="E5:E21">
      <x:formula1>$I5:$O5</x:formula1>
    </x:dataValidation>
  </x:dataValidations>
  <x:printOptions horizontalCentered="1" verticalCentered="0" headings="0" gridLines="0" gridLinesSet="1"/>
  <x:pageMargins left="0.69972223043441772461" right="0.69972223043441772461" top="0.75" bottom="0.75" header="0.30000001192092895508" footer="0.30000001192092895508"/>
  <x:pageSetup paperSize="9" scale="95" firstPageNumber="1" fitToWidth="1" fitToHeight="0" orientation="portrait" usePrinterDefaults="1" blackAndWhite="0" draft="0" useFirstPageNumber="0" horizontalDpi="600" verticalDpi="600" copies="1"/>
  <x:rowBreaks count="1" manualBreakCount="1">
    <x:brk id="14" min="0" max="1048575" man="1" pt="0"/>
  </x:rowBreaks>
  <x:colBreaks count="1" manualBreakCount="1">
    <x:brk id="5" min="0" max="16383" man="1" pt="0"/>
  </x:colBreak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ccffff"/>
    <x:pageSetUpPr autoPageBreaks="1" fitToPage="1"/>
  </x:sheetPr>
  <x:dimension ref="A1:Y62"/>
  <x:sheetViews>
    <x:sheetView showGridLines="0" view="pageBreakPreview" topLeftCell="A1" zoomScaleNormal="100" zoomScaleSheetLayoutView="100" workbookViewId="0">
      <x:pane xSplit="0" ySplit="4" topLeftCell="A5" activePane="bottomLeft" state="frozen"/>
      <x:selection pane="bottomLeft" activeCell="G1" activeCellId="0" sqref="G1:G1"/>
    </x:sheetView>
  </x:sheetViews>
  <x:sheetFormatPr defaultColWidth="8.796875" defaultRowHeight="13.55000000000000071054"/>
  <x:cols>
    <x:col min="1" max="1" width="3.5546875" style="1" customWidth="1"/>
    <x:col min="2" max="2" width="21.33203125" style="1" customWidth="1"/>
    <x:col min="3" max="3" width="4.109375" style="1" customWidth="1"/>
    <x:col min="4" max="4" width="2.109375" style="1" customWidth="1"/>
    <x:col min="5" max="5" width="31.33203125" style="1" customWidth="1"/>
    <x:col min="6" max="6" width="19" style="15" customWidth="1"/>
    <x:col min="7" max="7" width="4.44140625" style="3" customWidth="1"/>
    <x:col min="8" max="8" width="3.77734375" customWidth="1"/>
    <x:col min="9" max="9" width="14.6640625" style="56" customWidth="1"/>
    <x:col min="10" max="15" width="14.6640625" style="56" hidden="1" customWidth="1"/>
    <x:col min="16" max="16" width="8.88671875" style="1" hidden="1" customWidth="1"/>
    <x:col min="17" max="256" width="8.88671875" style="1"/>
  </x:cols>
  <x:sheetData>
    <x:row r="1" spans="1:18" s="29" customFormat="1" ht="30" customHeight="1">
      <x:c r="A1" s="14" t="s">
        <x:v>132</x:v>
      </x:c>
      <x:c r="B1" s="14"/>
      <x:c r="C1" s="14"/>
      <x:c r="D1" s="14"/>
      <x:c r="E1" s="38"/>
      <x:c r="F1" s="4"/>
      <x:c r="G1" s="63"/>
      <x:c r="H1" s="1"/>
      <x:c r="I1" s="15"/>
      <x:c r="J1" s="15"/>
      <x:c r="K1" s="15"/>
      <x:c r="L1" s="15"/>
      <x:c r="M1" s="15"/>
      <x:c r="N1" s="15"/>
      <x:c r="O1" s="15"/>
      <x:c r="P1" s="1"/>
      <x:c r="Q1" s="1"/>
      <x:c r="R1" s="48"/>
    </x:row>
    <x:row r="2" spans="1:25" s="2" customFormat="1" ht="30" customHeight="1">
      <x:c r="A2" s="22" t="s">
        <x:v>372</x:v>
      </x:c>
      <x:c r="B2" s="39"/>
      <x:c r="C2" s="39"/>
      <x:c r="D2" s="39"/>
      <x:c r="E2" s="39"/>
      <x:c r="F2" s="39"/>
      <x:c r="G2" s="2" t="s">
        <x:v>316</x:v>
      </x:c>
      <x:c r="H2" s="2">
        <x:f>SUM(G5:G55)</x:f>
        <x:v>52</x:v>
      </x:c>
      <x:c r="I2" s="2" t="s">
        <x:v>180</x:v>
      </x:c>
      <x:c r="K2"/>
      <x:c r="L2"/>
      <x:c r="M2" s="30"/>
      <x:c r="N2" s="30"/>
      <x:c r="O2" s="30"/>
      <x:c r="P2" s="29"/>
      <x:c r="Q2" s="46"/>
      <x:c r="R2" s="48"/>
      <x:c r="Y2" s="29"/>
    </x:row>
    <x:row r="3" spans="7:25" ht="14.19999999999999928946">
      <x:c r="G3" s="58" t="s">
        <x:v>231</x:v>
      </x:c>
      <x:c r="Y3" s="29"/>
    </x:row>
    <x:row r="4" spans="1:22" s="11" customFormat="1" ht="30" customHeight="1">
      <x:c r="A4" s="116" t="s">
        <x:v>167</x:v>
      </x:c>
      <x:c r="B4" s="116" t="s">
        <x:v>302</x:v>
      </x:c>
      <x:c r="C4" s="211" t="s">
        <x:v>355</x:v>
      </x:c>
      <x:c r="D4" s="212"/>
      <x:c r="E4" s="212"/>
      <x:c r="F4" s="116" t="s">
        <x:v>183</x:v>
      </x:c>
      <x:c r="G4" s="59" t="s">
        <x:v>172</x:v>
      </x:c>
      <x:c r="H4"/>
      <x:c r="I4" s="57"/>
      <x:c r="J4" s="57"/>
      <x:c r="K4" s="57"/>
      <x:c r="L4" s="57"/>
      <x:c r="M4" s="57"/>
      <x:c r="N4" s="57"/>
      <x:c r="O4" s="57"/>
      <x:c r="V4" s="29"/>
    </x:row>
    <x:row r="5" spans="1:21" s="31" customFormat="1" ht="30.94999999999999928946" customHeight="1">
      <x:c r="A5" s="213" t="s">
        <x:v>300</x:v>
      </x:c>
      <x:c r="B5" s="215" t="s">
        <x:v>60</x:v>
      </x:c>
      <x:c r="C5" s="32" t="s">
        <x:v>179</x:v>
      </x:c>
      <x:c r="D5" s="33" t="str">
        <x:f>IF($G$5=$G$60,$B$59,$D$59)</x:f>
        <x:v>☑</x:v>
      </x:c>
      <x:c r="E5" s="99" t="s">
        <x:v>44</x:v>
      </x:c>
      <x:c r="F5" s="218" t="str">
        <x:f>IF(G5&lt;2,"지도 사항을 상세히 기재해 주세요!","")</x:f>
        <x:v/>
      </x:c>
      <x:c r="G5" s="221">
        <x:v>3</x:v>
      </x:c>
      <x:c r="H5"/>
      <x:c r="J5" s="224" t="s">
        <x:v>271</x:v>
      </x:c>
      <x:c r="K5" s="224" t="s">
        <x:v>107</x:v>
      </x:c>
      <x:c r="L5" s="224" t="s">
        <x:v>194</x:v>
      </x:c>
      <x:c r="M5" s="224" t="s">
        <x:v>228</x:v>
      </x:c>
      <x:c r="N5" s="224" t="s">
        <x:v>65</x:v>
      </x:c>
      <x:c r="O5" s="224"/>
      <x:c r="P5" s="224"/>
      <x:c r="U5" s="29"/>
    </x:row>
    <x:row r="6" spans="1:16" s="31" customFormat="1" ht="30.94999999999999928946" customHeight="1">
      <x:c r="A6" s="214"/>
      <x:c r="B6" s="216"/>
      <x:c r="C6" s="34" t="s">
        <x:v>150</x:v>
      </x:c>
      <x:c r="D6" s="35" t="str">
        <x:f>IF($G$5=$G$61,$B$59,$D$59)</x:f>
        <x:v>□</x:v>
      </x:c>
      <x:c r="E6" s="35" t="s">
        <x:v>144</x:v>
      </x:c>
      <x:c r="F6" s="219" t="str">
        <x:f>IF(G6=0,"지도 사항을 상세히 기재해 주세요!","")</x:f>
        <x:v>지도 사항을 상세히 기재해 주세요!</x:v>
      </x:c>
      <x:c r="G6" s="222"/>
      <x:c r="H6"/>
      <x:c r="J6" s="225"/>
      <x:c r="K6" s="225"/>
      <x:c r="L6" s="225"/>
      <x:c r="M6" s="225"/>
      <x:c r="N6" s="225"/>
      <x:c r="O6" s="225"/>
      <x:c r="P6" s="225"/>
    </x:row>
    <x:row r="7" spans="1:16" s="31" customFormat="1" ht="30.94999999999999928946" customHeight="1">
      <x:c r="A7" s="214"/>
      <x:c r="B7" s="217"/>
      <x:c r="C7" s="36" t="s">
        <x:v>161</x:v>
      </x:c>
      <x:c r="D7" s="37" t="str">
        <x:f>IF($G$5=$G$62,$B$59,$D$59)</x:f>
        <x:v>□</x:v>
      </x:c>
      <x:c r="E7" s="37" t="s">
        <x:v>31</x:v>
      </x:c>
      <x:c r="F7" s="220" t="str">
        <x:f>IF(G7=0,"지도 사항을 상세히 기재해 주세요!","")</x:f>
        <x:v>지도 사항을 상세히 기재해 주세요!</x:v>
      </x:c>
      <x:c r="G7" s="223"/>
      <x:c r="H7"/>
      <x:c r="J7" s="226"/>
      <x:c r="K7" s="226"/>
      <x:c r="L7" s="226"/>
      <x:c r="M7" s="226"/>
      <x:c r="N7" s="226"/>
      <x:c r="O7" s="226"/>
      <x:c r="P7" s="226"/>
    </x:row>
    <x:row r="8" spans="1:16" s="31" customFormat="1" ht="20.10000000000000142109" customHeight="1">
      <x:c r="A8" s="214"/>
      <x:c r="B8" s="215" t="s">
        <x:v>49</x:v>
      </x:c>
      <x:c r="C8" s="32" t="s">
        <x:v>179</x:v>
      </x:c>
      <x:c r="D8" s="33" t="str">
        <x:f>IF($G$8=$G$60,$B$59,$D$59)</x:f>
        <x:v>☑</x:v>
      </x:c>
      <x:c r="E8" s="33" t="s">
        <x:v>365</x:v>
      </x:c>
      <x:c r="F8" s="218" t="str">
        <x:f>IF(G8&lt;3,"지도 사항을 상세히 기재해 주세요!","")</x:f>
        <x:v/>
      </x:c>
      <x:c r="G8" s="221">
        <x:v>3</x:v>
      </x:c>
      <x:c r="H8"/>
      <x:c r="J8" s="224" t="s">
        <x:v>346</x:v>
      </x:c>
      <x:c r="K8" s="224" t="s">
        <x:v>123</x:v>
      </x:c>
      <x:c r="L8" s="224" t="s">
        <x:v>122</x:v>
      </x:c>
      <x:c r="M8" s="224" t="s">
        <x:v>251</x:v>
      </x:c>
      <x:c r="N8" s="224" t="s">
        <x:v>327</x:v>
      </x:c>
      <x:c r="O8" s="224" t="s">
        <x:v>101</x:v>
      </x:c>
      <x:c r="P8" s="224"/>
    </x:row>
    <x:row r="9" spans="1:16" s="31" customFormat="1" ht="30.94999999999999928946" customHeight="1">
      <x:c r="A9" s="214"/>
      <x:c r="B9" s="216"/>
      <x:c r="C9" s="34" t="s">
        <x:v>150</x:v>
      </x:c>
      <x:c r="D9" s="35" t="str">
        <x:f>IF($G$8=$G$61,$B$59,$D$59)</x:f>
        <x:v>□</x:v>
      </x:c>
      <x:c r="E9" s="35" t="s">
        <x:v>142</x:v>
      </x:c>
      <x:c r="F9" s="219" t="str">
        <x:f>IF(G9=0,"지도 사항을 상세히 기재해 주세요!","")</x:f>
        <x:v>지도 사항을 상세히 기재해 주세요!</x:v>
      </x:c>
      <x:c r="G9" s="222"/>
      <x:c r="H9"/>
      <x:c r="J9" s="225"/>
      <x:c r="K9" s="225"/>
      <x:c r="L9" s="225"/>
      <x:c r="M9" s="225"/>
      <x:c r="N9" s="225"/>
      <x:c r="O9" s="225"/>
      <x:c r="P9" s="225"/>
    </x:row>
    <x:row r="10" spans="1:16" s="31" customFormat="1" ht="30.94999999999999928946" customHeight="1">
      <x:c r="A10" s="214"/>
      <x:c r="B10" s="217"/>
      <x:c r="C10" s="36" t="s">
        <x:v>161</x:v>
      </x:c>
      <x:c r="D10" s="37" t="str">
        <x:f>IF($G$8=$G$62,$B$59,$D$59)</x:f>
        <x:v>□</x:v>
      </x:c>
      <x:c r="E10" s="37" t="s">
        <x:v>226</x:v>
      </x:c>
      <x:c r="F10" s="220" t="str">
        <x:f>IF(G10=0,"지도 사항을 상세히 기재해 주세요!","")</x:f>
        <x:v>지도 사항을 상세히 기재해 주세요!</x:v>
      </x:c>
      <x:c r="G10" s="223"/>
      <x:c r="H10"/>
      <x:c r="J10" s="226"/>
      <x:c r="K10" s="226"/>
      <x:c r="L10" s="226"/>
      <x:c r="M10" s="226"/>
      <x:c r="N10" s="226"/>
      <x:c r="O10" s="226"/>
      <x:c r="P10" s="226"/>
    </x:row>
    <x:row r="11" spans="1:16" s="31" customFormat="1" ht="30.94999999999999928946" customHeight="1">
      <x:c r="A11" s="214"/>
      <x:c r="B11" s="215" t="s">
        <x:v>71</x:v>
      </x:c>
      <x:c r="C11" s="32" t="s">
        <x:v>179</x:v>
      </x:c>
      <x:c r="D11" s="33" t="str">
        <x:f>IF($G$11:$G$13=$A$60,$B$59,$D$59)</x:f>
        <x:v>☑</x:v>
      </x:c>
      <x:c r="E11" s="33" t="s">
        <x:v>73</x:v>
      </x:c>
      <x:c r="F11" s="218" t="str">
        <x:f>IF(G11&lt;2,"지도 사항을 상세히 기재해 주세요!","")</x:f>
        <x:v/>
      </x:c>
      <x:c r="G11" s="221">
        <x:v>2</x:v>
      </x:c>
      <x:c r="H11"/>
      <x:c r="J11" s="224" t="s">
        <x:v>192</x:v>
      </x:c>
      <x:c r="K11" s="224" t="s">
        <x:v>25</x:v>
      </x:c>
      <x:c r="L11" s="224"/>
      <x:c r="M11" s="224"/>
      <x:c r="N11" s="224"/>
      <x:c r="O11" s="224"/>
      <x:c r="P11" s="224"/>
    </x:row>
    <x:row r="12" spans="1:16" s="31" customFormat="1" ht="19.5" customHeight="1">
      <x:c r="A12" s="214"/>
      <x:c r="B12" s="216"/>
      <x:c r="C12" s="34" t="s">
        <x:v>150</x:v>
      </x:c>
      <x:c r="D12" s="35" t="str">
        <x:f>IF($G$11=$A$61,$B$59,$D$59)</x:f>
        <x:v>□</x:v>
      </x:c>
      <x:c r="E12" s="35" t="s">
        <x:v>377</x:v>
      </x:c>
      <x:c r="F12" s="219" t="str">
        <x:f>IF(G12=0,"지도 사항을 상세히 기재해 주세요!","")</x:f>
        <x:v>지도 사항을 상세히 기재해 주세요!</x:v>
      </x:c>
      <x:c r="G12" s="222"/>
      <x:c r="H12"/>
      <x:c r="J12" s="225"/>
      <x:c r="K12" s="225"/>
      <x:c r="L12" s="225"/>
      <x:c r="M12" s="225"/>
      <x:c r="N12" s="225"/>
      <x:c r="O12" s="225"/>
      <x:c r="P12" s="225"/>
    </x:row>
    <x:row r="13" spans="1:16" s="31" customFormat="1" ht="20.10000000000000142109" customHeight="1">
      <x:c r="A13" s="214"/>
      <x:c r="B13" s="217"/>
      <x:c r="C13" s="36" t="s">
        <x:v>161</x:v>
      </x:c>
      <x:c r="D13" s="37" t="str">
        <x:f>IF($G$11=$A$62,$B$59,$D$59)</x:f>
        <x:v>□</x:v>
      </x:c>
      <x:c r="E13" s="37" t="s">
        <x:v>345</x:v>
      </x:c>
      <x:c r="F13" s="220" t="str">
        <x:f>IF(G13=0,"지도 사항을 상세히 기재해 주세요!","")</x:f>
        <x:v>지도 사항을 상세히 기재해 주세요!</x:v>
      </x:c>
      <x:c r="G13" s="223"/>
      <x:c r="H13"/>
      <x:c r="J13" s="226"/>
      <x:c r="K13" s="226"/>
      <x:c r="L13" s="226"/>
      <x:c r="M13" s="226"/>
      <x:c r="N13" s="226"/>
      <x:c r="O13" s="226"/>
      <x:c r="P13" s="226"/>
    </x:row>
    <x:row r="14" spans="1:16" s="31" customFormat="1" ht="30.94999999999999928946" customHeight="1">
      <x:c r="A14" s="214"/>
      <x:c r="B14" s="215" t="s">
        <x:v>76</x:v>
      </x:c>
      <x:c r="C14" s="32" t="s">
        <x:v>179</x:v>
      </x:c>
      <x:c r="D14" s="33" t="str">
        <x:f>IF($G$14=$G$60,$B$59,$D$59)</x:f>
        <x:v>☑</x:v>
      </x:c>
      <x:c r="E14" s="33" t="s">
        <x:v>46</x:v>
      </x:c>
      <x:c r="F14" s="218" t="str">
        <x:f>IF(G14&lt;3,"지도 사항을 상세히 기재해 주세요!","")</x:f>
        <x:v/>
      </x:c>
      <x:c r="G14" s="221">
        <x:v>3</x:v>
      </x:c>
      <x:c r="H14"/>
      <x:c r="J14" s="224" t="s">
        <x:v>235</x:v>
      </x:c>
      <x:c r="K14" s="224" t="s">
        <x:v>92</x:v>
      </x:c>
      <x:c r="L14" s="224" t="s">
        <x:v>343</x:v>
      </x:c>
      <x:c r="M14" s="224"/>
      <x:c r="N14" s="224"/>
      <x:c r="O14" s="224"/>
      <x:c r="P14" s="224"/>
    </x:row>
    <x:row r="15" spans="1:16" s="31" customFormat="1" ht="30.94999999999999928946" customHeight="1">
      <x:c r="A15" s="214"/>
      <x:c r="B15" s="216"/>
      <x:c r="C15" s="34" t="s">
        <x:v>150</x:v>
      </x:c>
      <x:c r="D15" s="35" t="str">
        <x:f>IF($G$14=$G$61,$B$59,$D$59)</x:f>
        <x:v>□</x:v>
      </x:c>
      <x:c r="E15" s="35" t="s">
        <x:v>47</x:v>
      </x:c>
      <x:c r="F15" s="219" t="str">
        <x:f>IF(G15=0,"지도 사항을 상세히 기재해 주세요!","")</x:f>
        <x:v>지도 사항을 상세히 기재해 주세요!</x:v>
      </x:c>
      <x:c r="G15" s="222"/>
      <x:c r="H15"/>
      <x:c r="J15" s="225"/>
      <x:c r="K15" s="225"/>
      <x:c r="L15" s="225"/>
      <x:c r="M15" s="225"/>
      <x:c r="N15" s="225"/>
      <x:c r="O15" s="225"/>
      <x:c r="P15" s="225"/>
    </x:row>
    <x:row r="16" spans="1:16" s="31" customFormat="1" ht="20.10000000000000142109" customHeight="1">
      <x:c r="A16" s="214"/>
      <x:c r="B16" s="217"/>
      <x:c r="C16" s="36" t="s">
        <x:v>161</x:v>
      </x:c>
      <x:c r="D16" s="37" t="str">
        <x:f>IF($G$14=$G$62,$B$59,$D$59)</x:f>
        <x:v>□</x:v>
      </x:c>
      <x:c r="E16" s="37" t="s">
        <x:v>118</x:v>
      </x:c>
      <x:c r="F16" s="220" t="str">
        <x:f>IF(G16=0,"지도 사항을 상세히 기재해 주세요!","")</x:f>
        <x:v>지도 사항을 상세히 기재해 주세요!</x:v>
      </x:c>
      <x:c r="G16" s="223"/>
      <x:c r="H16"/>
      <x:c r="J16" s="226"/>
      <x:c r="K16" s="226"/>
      <x:c r="L16" s="226"/>
      <x:c r="M16" s="226"/>
      <x:c r="N16" s="226"/>
      <x:c r="O16" s="226"/>
      <x:c r="P16" s="226"/>
    </x:row>
    <x:row r="17" spans="1:16" s="31" customFormat="1" ht="33" customHeight="1">
      <x:c r="A17" s="214"/>
      <x:c r="B17" s="215" t="s">
        <x:v>20</x:v>
      </x:c>
      <x:c r="C17" s="32" t="s">
        <x:v>179</x:v>
      </x:c>
      <x:c r="D17" s="33" t="str">
        <x:f>IF($G$17=$G$60,$B$59,$D$59)</x:f>
        <x:v>☑</x:v>
      </x:c>
      <x:c r="E17" s="102" t="s">
        <x:v>62</x:v>
      </x:c>
      <x:c r="F17" s="218" t="str">
        <x:f>IF(G17&lt;3,"지도 사항을 상세히 기재해 주세요!","")</x:f>
        <x:v/>
      </x:c>
      <x:c r="G17" s="221">
        <x:v>3</x:v>
      </x:c>
      <x:c r="H17"/>
      <x:c r="J17" s="224" t="s">
        <x:v>272</x:v>
      </x:c>
      <x:c r="K17" s="224"/>
      <x:c r="L17" s="224"/>
      <x:c r="M17" s="224"/>
      <x:c r="N17" s="224"/>
      <x:c r="O17" s="224"/>
      <x:c r="P17" s="224"/>
    </x:row>
    <x:row r="18" spans="1:16" s="31" customFormat="1" ht="20.10000000000000142109" customHeight="1">
      <x:c r="A18" s="214"/>
      <x:c r="B18" s="216" t="s">
        <x:v>232</x:v>
      </x:c>
      <x:c r="C18" s="34" t="s">
        <x:v>150</x:v>
      </x:c>
      <x:c r="D18" s="35" t="str">
        <x:f>IF($G$17=$G$61,$B$59,$D$59)</x:f>
        <x:v>□</x:v>
      </x:c>
      <x:c r="E18" s="35" t="s">
        <x:v>333</x:v>
      </x:c>
      <x:c r="F18" s="219" t="str">
        <x:f>IF(G18=0,"지도 사항을 상세히 기재해 주세요!","")</x:f>
        <x:v>지도 사항을 상세히 기재해 주세요!</x:v>
      </x:c>
      <x:c r="G18" s="222"/>
      <x:c r="H18"/>
      <x:c r="J18" s="225"/>
      <x:c r="K18" s="225"/>
      <x:c r="L18" s="225"/>
      <x:c r="M18" s="225"/>
      <x:c r="N18" s="225"/>
      <x:c r="O18" s="225"/>
      <x:c r="P18" s="225"/>
    </x:row>
    <x:row r="19" spans="1:16" s="31" customFormat="1" ht="20.10000000000000142109" customHeight="1">
      <x:c r="A19" s="214"/>
      <x:c r="B19" s="217" t="s">
        <x:v>232</x:v>
      </x:c>
      <x:c r="C19" s="36" t="s">
        <x:v>161</x:v>
      </x:c>
      <x:c r="D19" s="37" t="str">
        <x:f>IF($G$17=$G$62,$B$59,$D$59)</x:f>
        <x:v>□</x:v>
      </x:c>
      <x:c r="E19" s="37" t="s">
        <x:v>113</x:v>
      </x:c>
      <x:c r="F19" s="220" t="str">
        <x:f>IF(G19=0,"지도 사항을 상세히 기재해 주세요!","")</x:f>
        <x:v>지도 사항을 상세히 기재해 주세요!</x:v>
      </x:c>
      <x:c r="G19" s="223"/>
      <x:c r="H19"/>
      <x:c r="J19" s="226"/>
      <x:c r="K19" s="226"/>
      <x:c r="L19" s="226"/>
      <x:c r="M19" s="226"/>
      <x:c r="N19" s="226"/>
      <x:c r="O19" s="226"/>
      <x:c r="P19" s="226"/>
    </x:row>
    <x:row r="20" spans="1:16" s="31" customFormat="1" ht="42.95000000000000284217" customHeight="1">
      <x:c r="A20" s="214"/>
      <x:c r="B20" s="215" t="s">
        <x:v>38</x:v>
      </x:c>
      <x:c r="C20" s="32" t="s">
        <x:v>179</x:v>
      </x:c>
      <x:c r="D20" s="33" t="str">
        <x:f>IF($G$20=$G$60,$B$59,$D$59)</x:f>
        <x:v>☑</x:v>
      </x:c>
      <x:c r="E20" s="33" t="s">
        <x:v>75</x:v>
      </x:c>
      <x:c r="F20" s="218" t="str">
        <x:f>IF(G20&lt;2,"지도 사항을 상세히 기재해 주세요!","")</x:f>
        <x:v/>
      </x:c>
      <x:c r="G20" s="221">
        <x:v>3</x:v>
      </x:c>
      <x:c r="H20"/>
      <x:c r="J20" s="224" t="s">
        <x:v>187</x:v>
      </x:c>
      <x:c r="K20" s="224" t="s">
        <x:v>322</x:v>
      </x:c>
      <x:c r="L20" s="224" t="s">
        <x:v>215</x:v>
      </x:c>
      <x:c r="M20" s="224" t="s">
        <x:v>253</x:v>
      </x:c>
      <x:c r="N20" s="224" t="s">
        <x:v>375</x:v>
      </x:c>
      <x:c r="O20" s="224"/>
      <x:c r="P20" s="224"/>
    </x:row>
    <x:row r="21" spans="1:16" s="31" customFormat="1" ht="20.10000000000000142109" customHeight="1">
      <x:c r="A21" s="214"/>
      <x:c r="B21" s="216"/>
      <x:c r="C21" s="34" t="s">
        <x:v>150</x:v>
      </x:c>
      <x:c r="D21" s="35" t="str">
        <x:f>IF($G$20=$G$61,$B$59,$D$59)</x:f>
        <x:v>□</x:v>
      </x:c>
      <x:c r="E21" s="35" t="s">
        <x:v>104</x:v>
      </x:c>
      <x:c r="F21" s="219"/>
      <x:c r="G21" s="222"/>
      <x:c r="H21"/>
      <x:c r="J21" s="225"/>
      <x:c r="K21" s="225"/>
      <x:c r="L21" s="225"/>
      <x:c r="M21" s="225"/>
      <x:c r="N21" s="225"/>
      <x:c r="O21" s="225"/>
      <x:c r="P21" s="225"/>
    </x:row>
    <x:row r="22" spans="1:16" s="31" customFormat="1" ht="20.10000000000000142109" customHeight="1">
      <x:c r="A22" s="214"/>
      <x:c r="B22" s="217"/>
      <x:c r="C22" s="36" t="s">
        <x:v>161</x:v>
      </x:c>
      <x:c r="D22" s="37" t="str">
        <x:f>IF($G$20=$G$62,$B$59,$D$59)</x:f>
        <x:v>□</x:v>
      </x:c>
      <x:c r="E22" s="37" t="s">
        <x:v>99</x:v>
      </x:c>
      <x:c r="F22" s="220"/>
      <x:c r="G22" s="223"/>
      <x:c r="H22"/>
      <x:c r="J22" s="226"/>
      <x:c r="K22" s="226"/>
      <x:c r="L22" s="226"/>
      <x:c r="M22" s="226"/>
      <x:c r="N22" s="226"/>
      <x:c r="O22" s="226"/>
      <x:c r="P22" s="226"/>
    </x:row>
    <x:row r="23" spans="1:16" s="31" customFormat="1" ht="54" customHeight="1">
      <x:c r="A23" s="214"/>
      <x:c r="B23" s="227" t="s">
        <x:v>81</x:v>
      </x:c>
      <x:c r="C23" s="32" t="s">
        <x:v>179</x:v>
      </x:c>
      <x:c r="D23" s="33" t="str">
        <x:f>IF($G$23=$A$60,$B$59,$D$59)</x:f>
        <x:v>☑</x:v>
      </x:c>
      <x:c r="E23" s="33" t="s">
        <x:v>34</x:v>
      </x:c>
      <x:c r="F23" s="218" t="str">
        <x:f>IF(G23&lt;2,"지도 사항을 상세히 기재해 주세요!","")</x:f>
        <x:v/>
      </x:c>
      <x:c r="G23" s="221">
        <x:v>2</x:v>
      </x:c>
      <x:c r="H23"/>
      <x:c r="J23" s="224" t="s">
        <x:v>136</x:v>
      </x:c>
      <x:c r="K23" s="224" t="s">
        <x:v>224</x:v>
      </x:c>
      <x:c r="L23" s="224" t="s">
        <x:v>213</x:v>
      </x:c>
      <x:c r="M23" s="224" t="s">
        <x:v>98</x:v>
      </x:c>
      <x:c r="N23" s="224"/>
      <x:c r="O23" s="224"/>
      <x:c r="P23" s="224"/>
    </x:row>
    <x:row r="24" spans="1:16" s="31" customFormat="1" ht="20.10000000000000142109" customHeight="1">
      <x:c r="A24" s="214"/>
      <x:c r="B24" s="228"/>
      <x:c r="C24" s="34" t="s">
        <x:v>150</x:v>
      </x:c>
      <x:c r="D24" s="35" t="str">
        <x:f>IF($G$23=$A$61,$B$59,$D$59)</x:f>
        <x:v>□</x:v>
      </x:c>
      <x:c r="E24" s="35" t="s">
        <x:v>198</x:v>
      </x:c>
      <x:c r="F24" s="219"/>
      <x:c r="G24" s="222"/>
      <x:c r="H24"/>
      <x:c r="J24" s="225"/>
      <x:c r="K24" s="225"/>
      <x:c r="L24" s="225"/>
      <x:c r="M24" s="225"/>
      <x:c r="N24" s="225"/>
      <x:c r="O24" s="225"/>
      <x:c r="P24" s="225"/>
    </x:row>
    <x:row r="25" spans="1:16" s="31" customFormat="1" ht="20.10000000000000142109" customHeight="1">
      <x:c r="A25" s="206"/>
      <x:c r="B25" s="229"/>
      <x:c r="C25" s="36" t="s">
        <x:v>161</x:v>
      </x:c>
      <x:c r="D25" s="37" t="str">
        <x:f>IF($G$23=$A$62,$B$59,$D$59)</x:f>
        <x:v>□</x:v>
      </x:c>
      <x:c r="E25" s="75" t="s">
        <x:v>99</x:v>
      </x:c>
      <x:c r="F25" s="220"/>
      <x:c r="G25" s="223"/>
      <x:c r="H25"/>
      <x:c r="J25" s="226"/>
      <x:c r="K25" s="226"/>
      <x:c r="L25" s="226"/>
      <x:c r="M25" s="226"/>
      <x:c r="N25" s="226"/>
      <x:c r="O25" s="226"/>
      <x:c r="P25" s="226"/>
    </x:row>
    <x:row r="26" spans="1:16" s="31" customFormat="1" ht="42.95000000000000284217" customHeight="1">
      <x:c r="A26" s="213" t="s">
        <x:v>300</x:v>
      </x:c>
      <x:c r="B26" s="215" t="s">
        <x:v>52</x:v>
      </x:c>
      <x:c r="C26" s="32" t="s">
        <x:v>179</x:v>
      </x:c>
      <x:c r="D26" s="33" t="str">
        <x:f>IF($G$26=$G$60,$B$59,$D$59)</x:f>
        <x:v>☑</x:v>
      </x:c>
      <x:c r="E26" s="100" t="s">
        <x:v>13</x:v>
      </x:c>
      <x:c r="F26" s="218" t="str">
        <x:f>IF(G26&lt;3,"지도 사항을 상세히 기재해 주세요!","")</x:f>
        <x:v/>
      </x:c>
      <x:c r="G26" s="221">
        <x:v>3</x:v>
      </x:c>
      <x:c r="H26"/>
      <x:c r="J26" s="224" t="s">
        <x:v>347</x:v>
      </x:c>
      <x:c r="K26" s="224" t="s">
        <x:v>202</x:v>
      </x:c>
      <x:c r="L26" s="224" t="s">
        <x:v>102</x:v>
      </x:c>
      <x:c r="M26" s="224" t="s">
        <x:v>90</x:v>
      </x:c>
      <x:c r="N26" s="224" t="s">
        <x:v>148</x:v>
      </x:c>
      <x:c r="O26" s="224"/>
      <x:c r="P26" s="224"/>
    </x:row>
    <x:row r="27" spans="1:16" s="31" customFormat="1" ht="20.10000000000000142109" customHeight="1">
      <x:c r="A27" s="214"/>
      <x:c r="B27" s="216"/>
      <x:c r="C27" s="34" t="s">
        <x:v>150</x:v>
      </x:c>
      <x:c r="D27" s="35" t="str">
        <x:f>IF($G$26=$G$61,$B$59,$D$59)</x:f>
        <x:v>□</x:v>
      </x:c>
      <x:c r="E27" s="35" t="s">
        <x:v>193</x:v>
      </x:c>
      <x:c r="F27" s="219"/>
      <x:c r="G27" s="222"/>
      <x:c r="H27"/>
      <x:c r="J27" s="225"/>
      <x:c r="K27" s="225"/>
      <x:c r="L27" s="225"/>
      <x:c r="M27" s="225"/>
      <x:c r="N27" s="225"/>
      <x:c r="O27" s="225"/>
      <x:c r="P27" s="225"/>
    </x:row>
    <x:row r="28" spans="1:16" s="31" customFormat="1" ht="20.10000000000000142109" customHeight="1">
      <x:c r="A28" s="214"/>
      <x:c r="B28" s="217"/>
      <x:c r="C28" s="36" t="s">
        <x:v>161</x:v>
      </x:c>
      <x:c r="D28" s="37" t="str">
        <x:f>IF($G$26=$G$62,$B$59,$D$59)</x:f>
        <x:v>□</x:v>
      </x:c>
      <x:c r="E28" s="75" t="s">
        <x:v>99</x:v>
      </x:c>
      <x:c r="F28" s="220"/>
      <x:c r="G28" s="223"/>
      <x:c r="H28"/>
      <x:c r="J28" s="226"/>
      <x:c r="K28" s="226"/>
      <x:c r="L28" s="226"/>
      <x:c r="M28" s="226"/>
      <x:c r="N28" s="226"/>
      <x:c r="O28" s="226"/>
      <x:c r="P28" s="226"/>
    </x:row>
    <x:row r="29" spans="1:16" s="31" customFormat="1" ht="30.94999999999999928946" customHeight="1">
      <x:c r="A29" s="214"/>
      <x:c r="B29" s="215" t="s">
        <x:v>74</x:v>
      </x:c>
      <x:c r="C29" s="32" t="s">
        <x:v>179</x:v>
      </x:c>
      <x:c r="D29" s="33" t="str">
        <x:f>IF($G$29=$G$60,$B$59,$D$59)</x:f>
        <x:v>☑</x:v>
      </x:c>
      <x:c r="E29" s="33" t="s">
        <x:v>28</x:v>
      </x:c>
      <x:c r="F29" s="218" t="str">
        <x:f>IF(G29&lt;2,"지도 사항을 상세히 기재해 주세요!","")</x:f>
        <x:v/>
      </x:c>
      <x:c r="G29" s="221">
        <x:v>3</x:v>
      </x:c>
      <x:c r="H29"/>
      <x:c r="J29" s="224" t="s">
        <x:v>139</x:v>
      </x:c>
      <x:c r="K29" s="224" t="s">
        <x:v>127</x:v>
      </x:c>
      <x:c r="L29" s="224" t="s">
        <x:v>344</x:v>
      </x:c>
      <x:c r="M29" s="224" t="s">
        <x:v>134</x:v>
      </x:c>
      <x:c r="N29" s="224" t="s">
        <x:v>269</x:v>
      </x:c>
      <x:c r="O29" s="224"/>
      <x:c r="P29" s="224"/>
    </x:row>
    <x:row r="30" spans="1:16" s="31" customFormat="1" ht="30.94999999999999928946" customHeight="1">
      <x:c r="A30" s="214"/>
      <x:c r="B30" s="216"/>
      <x:c r="C30" s="34" t="s">
        <x:v>150</x:v>
      </x:c>
      <x:c r="D30" s="35" t="str">
        <x:f>IF($G$29=$G$61,$B$59,$D$59)</x:f>
        <x:v>□</x:v>
      </x:c>
      <x:c r="E30" s="35" t="s">
        <x:v>145</x:v>
      </x:c>
      <x:c r="F30" s="219"/>
      <x:c r="G30" s="222"/>
      <x:c r="H30"/>
      <x:c r="J30" s="225"/>
      <x:c r="K30" s="225"/>
      <x:c r="L30" s="225"/>
      <x:c r="M30" s="225"/>
      <x:c r="N30" s="225"/>
      <x:c r="O30" s="225"/>
      <x:c r="P30" s="225"/>
    </x:row>
    <x:row r="31" spans="1:16" s="31" customFormat="1" ht="20.10000000000000142109" customHeight="1">
      <x:c r="A31" s="214"/>
      <x:c r="B31" s="217"/>
      <x:c r="C31" s="36" t="s">
        <x:v>161</x:v>
      </x:c>
      <x:c r="D31" s="37" t="str">
        <x:f>IF($G$29=$G$62,$B$59,$D$59)</x:f>
        <x:v>□</x:v>
      </x:c>
      <x:c r="E31" s="75" t="s">
        <x:v>99</x:v>
      </x:c>
      <x:c r="F31" s="220"/>
      <x:c r="G31" s="223"/>
      <x:c r="H31"/>
      <x:c r="J31" s="226"/>
      <x:c r="K31" s="226"/>
      <x:c r="L31" s="226"/>
      <x:c r="M31" s="226"/>
      <x:c r="N31" s="226"/>
      <x:c r="O31" s="226"/>
      <x:c r="P31" s="226"/>
    </x:row>
    <x:row r="32" spans="1:16" s="31" customFormat="1" ht="30.94999999999999928946" customHeight="1">
      <x:c r="A32" s="214"/>
      <x:c r="B32" s="215" t="s">
        <x:v>53</x:v>
      </x:c>
      <x:c r="C32" s="32" t="s">
        <x:v>179</x:v>
      </x:c>
      <x:c r="D32" s="33" t="str">
        <x:f>IF($G$32=$G$60,$B$59,$D$59)</x:f>
        <x:v>☑</x:v>
      </x:c>
      <x:c r="E32" s="33" t="s">
        <x:v>236</x:v>
      </x:c>
      <x:c r="F32" s="218" t="str">
        <x:f>IF(G32&lt;3,"지도 사항을 상세히 기재해 주세요!","")</x:f>
        <x:v/>
      </x:c>
      <x:c r="G32" s="221">
        <x:v>3</x:v>
      </x:c>
      <x:c r="H32"/>
      <x:c r="J32" s="224" t="s">
        <x:v>252</x:v>
      </x:c>
      <x:c r="K32" s="224" t="s">
        <x:v>341</x:v>
      </x:c>
      <x:c r="L32" s="224" t="s">
        <x:v>93</x:v>
      </x:c>
      <x:c r="M32" s="224" t="s">
        <x:v>208</x:v>
      </x:c>
      <x:c r="N32" s="224" t="s">
        <x:v>257</x:v>
      </x:c>
      <x:c r="O32" s="224" t="s">
        <x:v>209</x:v>
      </x:c>
      <x:c r="P32" s="224" t="s">
        <x:v>138</x:v>
      </x:c>
    </x:row>
    <x:row r="33" spans="1:16" s="31" customFormat="1" ht="30.94999999999999928946" customHeight="1">
      <x:c r="A33" s="214"/>
      <x:c r="B33" s="216"/>
      <x:c r="C33" s="34" t="s">
        <x:v>150</x:v>
      </x:c>
      <x:c r="D33" s="35" t="str">
        <x:f>IF($G$32=$G$61,$B$59,$D$59)</x:f>
        <x:v>□</x:v>
      </x:c>
      <x:c r="E33" s="35" t="s">
        <x:v>223</x:v>
      </x:c>
      <x:c r="F33" s="219"/>
      <x:c r="G33" s="222"/>
      <x:c r="H33"/>
      <x:c r="J33" s="225"/>
      <x:c r="K33" s="225"/>
      <x:c r="L33" s="225"/>
      <x:c r="M33" s="225"/>
      <x:c r="N33" s="225"/>
      <x:c r="O33" s="225"/>
      <x:c r="P33" s="225"/>
    </x:row>
    <x:row r="34" spans="1:16" s="31" customFormat="1" ht="20.10000000000000142109" customHeight="1">
      <x:c r="A34" s="214"/>
      <x:c r="B34" s="217"/>
      <x:c r="C34" s="36" t="s">
        <x:v>161</x:v>
      </x:c>
      <x:c r="D34" s="37" t="str">
        <x:f>IF($G$32=$G$62,$B$59,$D$59)</x:f>
        <x:v>□</x:v>
      </x:c>
      <x:c r="E34" s="75" t="s">
        <x:v>99</x:v>
      </x:c>
      <x:c r="F34" s="220"/>
      <x:c r="G34" s="223"/>
      <x:c r="H34"/>
      <x:c r="J34" s="226"/>
      <x:c r="K34" s="226"/>
      <x:c r="L34" s="226"/>
      <x:c r="M34" s="226"/>
      <x:c r="N34" s="226"/>
      <x:c r="O34" s="226"/>
      <x:c r="P34" s="226"/>
    </x:row>
    <x:row r="35" spans="1:16" s="31" customFormat="1" ht="30.75" customHeight="1">
      <x:c r="A35" s="214"/>
      <x:c r="B35" s="215" t="s">
        <x:v>64</x:v>
      </x:c>
      <x:c r="C35" s="32" t="s">
        <x:v>179</x:v>
      </x:c>
      <x:c r="D35" s="33" t="str">
        <x:f>IF($G$35=$G$60,$B$59,$D$59)</x:f>
        <x:v>☑</x:v>
      </x:c>
      <x:c r="E35" s="101" t="s">
        <x:v>2</x:v>
      </x:c>
      <x:c r="F35" s="218" t="str">
        <x:f>IF(G35&lt;2,"지도 사항을 상세히 기재해 주세요!","")</x:f>
        <x:v/>
      </x:c>
      <x:c r="G35" s="221">
        <x:v>3</x:v>
      </x:c>
      <x:c r="H35"/>
      <x:c r="J35" s="224" t="s">
        <x:v>119</x:v>
      </x:c>
      <x:c r="K35" s="224" t="s">
        <x:v>241</x:v>
      </x:c>
      <x:c r="L35" s="224" t="s">
        <x:v>354</x:v>
      </x:c>
      <x:c r="M35" s="224"/>
      <x:c r="N35" s="224"/>
      <x:c r="O35" s="224"/>
      <x:c r="P35" s="224"/>
    </x:row>
    <x:row r="36" spans="1:16" s="31" customFormat="1" ht="20.10000000000000142109" customHeight="1">
      <x:c r="A36" s="214"/>
      <x:c r="B36" s="216"/>
      <x:c r="C36" s="34" t="s">
        <x:v>150</x:v>
      </x:c>
      <x:c r="D36" s="35" t="str">
        <x:f>IF($G$35=$G$61,$B$59,$D$59)</x:f>
        <x:v>□</x:v>
      </x:c>
      <x:c r="E36" s="35" t="s">
        <x:v>104</x:v>
      </x:c>
      <x:c r="F36" s="219"/>
      <x:c r="G36" s="222"/>
      <x:c r="H36"/>
      <x:c r="J36" s="225"/>
      <x:c r="K36" s="225"/>
      <x:c r="L36" s="225"/>
      <x:c r="M36" s="225"/>
      <x:c r="N36" s="225"/>
      <x:c r="O36" s="225"/>
      <x:c r="P36" s="225"/>
    </x:row>
    <x:row r="37" spans="1:16" s="31" customFormat="1" ht="20.10000000000000142109" customHeight="1">
      <x:c r="A37" s="214"/>
      <x:c r="B37" s="217"/>
      <x:c r="C37" s="36" t="s">
        <x:v>161</x:v>
      </x:c>
      <x:c r="D37" s="37" t="str">
        <x:f>IF($G$35=$G$62,$B$59,$D$59)</x:f>
        <x:v>□</x:v>
      </x:c>
      <x:c r="E37" s="75" t="s">
        <x:v>99</x:v>
      </x:c>
      <x:c r="F37" s="220"/>
      <x:c r="G37" s="223"/>
      <x:c r="H37"/>
      <x:c r="J37" s="226"/>
      <x:c r="K37" s="226"/>
      <x:c r="L37" s="226"/>
      <x:c r="M37" s="226"/>
      <x:c r="N37" s="226"/>
      <x:c r="O37" s="226"/>
      <x:c r="P37" s="226"/>
    </x:row>
    <x:row r="38" spans="1:16" s="31" customFormat="1" ht="30.94999999999999928946" customHeight="1">
      <x:c r="A38" s="214"/>
      <x:c r="B38" s="215" t="s">
        <x:v>3</x:v>
      </x:c>
      <x:c r="C38" s="32" t="s">
        <x:v>179</x:v>
      </x:c>
      <x:c r="D38" s="33" t="str">
        <x:f>IF($G$38=$G$60,$B$59,$D$59)</x:f>
        <x:v>☑</x:v>
      </x:c>
      <x:c r="E38" s="33" t="s">
        <x:v>72</x:v>
      </x:c>
      <x:c r="F38" s="218" t="str">
        <x:f>IF(G38&lt;3,"지도 사항을 상세히 기재해 주세요!","")</x:f>
        <x:v/>
      </x:c>
      <x:c r="G38" s="221">
        <x:v>3</x:v>
      </x:c>
      <x:c r="H38"/>
      <x:c r="J38" s="224" t="s">
        <x:v>210</x:v>
      </x:c>
      <x:c r="K38" s="224" t="s">
        <x:v>265</x:v>
      </x:c>
      <x:c r="L38" s="224" t="s">
        <x:v>267</x:v>
      </x:c>
      <x:c r="M38" s="224" t="s">
        <x:v>262</x:v>
      </x:c>
      <x:c r="N38" s="224" t="s">
        <x:v>281</x:v>
      </x:c>
      <x:c r="O38" s="224"/>
      <x:c r="P38" s="224"/>
    </x:row>
    <x:row r="39" spans="1:16" s="31" customFormat="1" ht="20.10000000000000142109" customHeight="1">
      <x:c r="A39" s="214"/>
      <x:c r="B39" s="216"/>
      <x:c r="C39" s="34" t="s">
        <x:v>150</x:v>
      </x:c>
      <x:c r="D39" s="35" t="str">
        <x:f>IF($G$38=$G$61,$B$59,$D$59)</x:f>
        <x:v>□</x:v>
      </x:c>
      <x:c r="E39" s="35" t="s">
        <x:v>104</x:v>
      </x:c>
      <x:c r="F39" s="219"/>
      <x:c r="G39" s="222"/>
      <x:c r="H39"/>
      <x:c r="J39" s="225"/>
      <x:c r="K39" s="225"/>
      <x:c r="L39" s="225"/>
      <x:c r="M39" s="225"/>
      <x:c r="N39" s="225"/>
      <x:c r="O39" s="225"/>
      <x:c r="P39" s="225"/>
    </x:row>
    <x:row r="40" spans="1:16" s="31" customFormat="1" ht="20.10000000000000142109" customHeight="1">
      <x:c r="A40" s="214"/>
      <x:c r="B40" s="217"/>
      <x:c r="C40" s="36" t="s">
        <x:v>161</x:v>
      </x:c>
      <x:c r="D40" s="37" t="str">
        <x:f>IF($G$38=$G$62,$B$59,$D$59)</x:f>
        <x:v>□</x:v>
      </x:c>
      <x:c r="E40" s="75" t="s">
        <x:v>99</x:v>
      </x:c>
      <x:c r="F40" s="220"/>
      <x:c r="G40" s="223"/>
      <x:c r="H40"/>
      <x:c r="J40" s="226"/>
      <x:c r="K40" s="226"/>
      <x:c r="L40" s="226"/>
      <x:c r="M40" s="226"/>
      <x:c r="N40" s="226"/>
      <x:c r="O40" s="226"/>
      <x:c r="P40" s="226"/>
    </x:row>
    <x:row r="41" spans="1:16" s="31" customFormat="1" ht="32.39999999999999857891" customHeight="1">
      <x:c r="A41" s="208" t="s">
        <x:v>305</x:v>
      </x:c>
      <x:c r="B41" s="215" t="s">
        <x:v>40</x:v>
      </x:c>
      <x:c r="C41" s="32" t="s">
        <x:v>179</x:v>
      </x:c>
      <x:c r="D41" s="33" t="str">
        <x:f>IF($G$41=$G$60,$B$59,$D$59)</x:f>
        <x:v>☑</x:v>
      </x:c>
      <x:c r="E41" s="33" t="s">
        <x:v>147</x:v>
      </x:c>
      <x:c r="F41" s="218" t="s">
        <x:v>329</x:v>
      </x:c>
      <x:c r="G41" s="221">
        <x:v>3</x:v>
      </x:c>
      <x:c r="H41"/>
      <x:c r="J41" s="224" t="s">
        <x:v>109</x:v>
      </x:c>
      <x:c r="K41" s="224" t="s">
        <x:v>255</x:v>
      </x:c>
      <x:c r="L41" s="224" t="s">
        <x:v>248</x:v>
      </x:c>
      <x:c r="M41" s="224"/>
      <x:c r="N41" s="224"/>
      <x:c r="O41" s="224"/>
      <x:c r="P41" s="224"/>
    </x:row>
    <x:row r="42" spans="1:16" s="31" customFormat="1" ht="20.10000000000000142109" customHeight="1">
      <x:c r="A42" s="209"/>
      <x:c r="B42" s="217"/>
      <x:c r="C42" s="36" t="s">
        <x:v>161</x:v>
      </x:c>
      <x:c r="D42" s="35" t="str">
        <x:f>IF($G$41=$G$62,$B$59,$D$59)</x:f>
        <x:v>□</x:v>
      </x:c>
      <x:c r="E42" s="37" t="s">
        <x:v>97</x:v>
      </x:c>
      <x:c r="F42" s="220"/>
      <x:c r="G42" s="223"/>
      <x:c r="H42"/>
      <x:c r="J42" s="226"/>
      <x:c r="K42" s="226"/>
      <x:c r="L42" s="226"/>
      <x:c r="M42" s="226"/>
      <x:c r="N42" s="226"/>
      <x:c r="O42" s="226"/>
      <x:c r="P42" s="226"/>
    </x:row>
    <x:row r="43" spans="1:16" s="31" customFormat="1" ht="30.60000000000000142109" customHeight="1">
      <x:c r="A43" s="209"/>
      <x:c r="B43" s="215" t="s">
        <x:v>69</x:v>
      </x:c>
      <x:c r="C43" s="32" t="s">
        <x:v>179</x:v>
      </x:c>
      <x:c r="D43" s="33" t="str">
        <x:f>IF($G$43=$G$60,$B$59,$D$59)</x:f>
        <x:v>☑</x:v>
      </x:c>
      <x:c r="E43" s="33" t="s">
        <x:v>374</x:v>
      </x:c>
      <x:c r="F43" s="230" t="s">
        <x:v>289</x:v>
      </x:c>
      <x:c r="G43" s="221">
        <x:v>3</x:v>
      </x:c>
      <x:c r="H43"/>
      <x:c r="J43" s="224" t="s">
        <x:v>129</x:v>
      </x:c>
      <x:c r="K43" s="224" t="s">
        <x:v>115</x:v>
      </x:c>
      <x:c r="L43" s="224"/>
      <x:c r="M43" s="224"/>
      <x:c r="N43" s="224"/>
      <x:c r="O43" s="224"/>
      <x:c r="P43" s="224"/>
    </x:row>
    <x:row r="44" spans="1:16" s="31" customFormat="1" ht="20.10000000000000142109" customHeight="1">
      <x:c r="A44" s="210"/>
      <x:c r="B44" s="217"/>
      <x:c r="C44" s="36" t="s">
        <x:v>161</x:v>
      </x:c>
      <x:c r="D44" s="37" t="str">
        <x:f>IF($G$43=$G$62,$B$59,$D$59)</x:f>
        <x:v>□</x:v>
      </x:c>
      <x:c r="E44" s="37" t="s">
        <x:v>108</x:v>
      </x:c>
      <x:c r="F44" s="220"/>
      <x:c r="G44" s="223"/>
      <x:c r="H44"/>
      <x:c r="J44" s="226"/>
      <x:c r="K44" s="226"/>
      <x:c r="L44" s="226"/>
      <x:c r="M44" s="226"/>
      <x:c r="N44" s="226"/>
      <x:c r="O44" s="226"/>
      <x:c r="P44" s="226"/>
    </x:row>
    <x:row r="45" spans="1:16" s="31" customFormat="1" ht="30.94999999999999928946" customHeight="1">
      <x:c r="A45" s="231" t="s">
        <x:v>173</x:v>
      </x:c>
      <x:c r="B45" s="215" t="s">
        <x:v>221</x:v>
      </x:c>
      <x:c r="C45" s="32" t="s">
        <x:v>179</x:v>
      </x:c>
      <x:c r="D45" s="33" t="str">
        <x:f>IF($G$45=$G$60,$B$59,$D$59)</x:f>
        <x:v>☑</x:v>
      </x:c>
      <x:c r="E45" s="33" t="s">
        <x:v>141</x:v>
      </x:c>
      <x:c r="F45" s="218" t="str">
        <x:f>IF(G45&lt;3,"지도 사항을 상세히 기재해 주세요!","")</x:f>
        <x:v/>
      </x:c>
      <x:c r="G45" s="221">
        <x:v>3</x:v>
      </x:c>
      <x:c r="H45"/>
      <x:c r="J45" s="224" t="s">
        <x:v>376</x:v>
      </x:c>
      <x:c r="K45" s="224" t="s">
        <x:v>130</x:v>
      </x:c>
      <x:c r="L45" s="224" t="s">
        <x:v>366</x:v>
      </x:c>
      <x:c r="M45" s="224"/>
      <x:c r="N45" s="224"/>
      <x:c r="O45" s="224"/>
      <x:c r="P45" s="224"/>
    </x:row>
    <x:row r="46" spans="1:16" s="31" customFormat="1" ht="22.5" customHeight="1">
      <x:c r="A46" s="231"/>
      <x:c r="B46" s="216"/>
      <x:c r="C46" s="34" t="s">
        <x:v>150</x:v>
      </x:c>
      <x:c r="D46" s="35" t="str">
        <x:f>IF($G$45=$G$61,$B$59,$D$59)</x:f>
        <x:v>□</x:v>
      </x:c>
      <x:c r="E46" s="35" t="s">
        <x:v>103</x:v>
      </x:c>
      <x:c r="F46" s="219"/>
      <x:c r="G46" s="222"/>
      <x:c r="H46"/>
      <x:c r="J46" s="225"/>
      <x:c r="K46" s="225"/>
      <x:c r="L46" s="225"/>
      <x:c r="M46" s="225"/>
      <x:c r="N46" s="225"/>
      <x:c r="O46" s="225"/>
      <x:c r="P46" s="225"/>
    </x:row>
    <x:row r="47" spans="1:16" s="31" customFormat="1" ht="20.10000000000000142109" customHeight="1">
      <x:c r="A47" s="231"/>
      <x:c r="B47" s="217"/>
      <x:c r="C47" s="36" t="s">
        <x:v>161</x:v>
      </x:c>
      <x:c r="D47" s="35" t="str">
        <x:f>IF($G$45=$G$62,$B$59,$D$59)</x:f>
        <x:v>□</x:v>
      </x:c>
      <x:c r="E47" s="37" t="s">
        <x:v>264</x:v>
      </x:c>
      <x:c r="F47" s="220"/>
      <x:c r="G47" s="223"/>
      <x:c r="H47"/>
      <x:c r="J47" s="226"/>
      <x:c r="K47" s="226"/>
      <x:c r="L47" s="226"/>
      <x:c r="M47" s="226"/>
      <x:c r="N47" s="226"/>
      <x:c r="O47" s="226"/>
      <x:c r="P47" s="226"/>
    </x:row>
    <x:row r="48" spans="1:16" s="31" customFormat="1" ht="30.94999999999999928946" customHeight="1">
      <x:c r="A48" s="208" t="s">
        <x:v>284</x:v>
      </x:c>
      <x:c r="B48" s="215" t="s">
        <x:v>43</x:v>
      </x:c>
      <x:c r="C48" s="32" t="s">
        <x:v>179</x:v>
      </x:c>
      <x:c r="D48" s="33" t="str">
        <x:f>IF($G$48=$G$60,$B$59,$D$59)</x:f>
        <x:v>☑</x:v>
      </x:c>
      <x:c r="E48" s="33" t="s">
        <x:v>30</x:v>
      </x:c>
      <x:c r="F48" s="218" t="str">
        <x:f>IF(G48&lt;2,"지도 사항을 상세히 기재해 주세요!","")</x:f>
        <x:v/>
      </x:c>
      <x:c r="G48" s="221">
        <x:v>3</x:v>
      </x:c>
      <x:c r="H48"/>
      <x:c r="J48" s="224" t="s">
        <x:v>342</x:v>
      </x:c>
      <x:c r="K48" s="224" t="s">
        <x:v>351</x:v>
      </x:c>
      <x:c r="L48" s="224" t="s">
        <x:v>352</x:v>
      </x:c>
      <x:c r="M48" s="224"/>
      <x:c r="N48" s="224"/>
      <x:c r="O48" s="224"/>
      <x:c r="P48" s="224"/>
    </x:row>
    <x:row r="49" spans="1:16" s="31" customFormat="1" ht="30.94999999999999928946" customHeight="1">
      <x:c r="A49" s="209"/>
      <x:c r="B49" s="216"/>
      <x:c r="C49" s="34" t="s">
        <x:v>150</x:v>
      </x:c>
      <x:c r="D49" s="35" t="str">
        <x:f>IF($G$48=$G$61,$B$59,$D$59)</x:f>
        <x:v>□</x:v>
      </x:c>
      <x:c r="E49" s="35" t="s">
        <x:v>225</x:v>
      </x:c>
      <x:c r="F49" s="219"/>
      <x:c r="G49" s="222"/>
      <x:c r="H49"/>
      <x:c r="J49" s="225"/>
      <x:c r="K49" s="225"/>
      <x:c r="L49" s="225"/>
      <x:c r="M49" s="225"/>
      <x:c r="N49" s="225"/>
      <x:c r="O49" s="225"/>
      <x:c r="P49" s="225"/>
    </x:row>
    <x:row r="50" spans="1:16" s="31" customFormat="1" ht="20.10000000000000142109" customHeight="1">
      <x:c r="A50" s="210"/>
      <x:c r="B50" s="217"/>
      <x:c r="C50" s="36" t="s">
        <x:v>161</x:v>
      </x:c>
      <x:c r="D50" s="35" t="str">
        <x:f>IF($G$48=$G$62,$B$59,$D$59)</x:f>
        <x:v>□</x:v>
      </x:c>
      <x:c r="E50" s="37" t="s">
        <x:v>205</x:v>
      </x:c>
      <x:c r="F50" s="220"/>
      <x:c r="G50" s="223"/>
      <x:c r="H50"/>
      <x:c r="J50" s="226"/>
      <x:c r="K50" s="226"/>
      <x:c r="L50" s="226"/>
      <x:c r="M50" s="226"/>
      <x:c r="N50" s="226"/>
      <x:c r="O50" s="226"/>
      <x:c r="P50" s="226"/>
    </x:row>
    <x:row r="51" spans="1:16" s="31" customFormat="1" ht="30.94999999999999928946" customHeight="1">
      <x:c r="A51" s="208" t="s">
        <x:v>260</x:v>
      </x:c>
      <x:c r="B51" s="215" t="s">
        <x:v>51</x:v>
      </x:c>
      <x:c r="C51" s="32" t="s">
        <x:v>179</x:v>
      </x:c>
      <x:c r="D51" s="33" t="str">
        <x:f>IF($G$51=$G$60,$B$59,$D$59)</x:f>
        <x:v>☑</x:v>
      </x:c>
      <x:c r="E51" s="33" t="s">
        <x:v>219</x:v>
      </x:c>
      <x:c r="F51" s="218" t="s">
        <x:v>89</x:v>
      </x:c>
      <x:c r="G51" s="221">
        <x:v>3</x:v>
      </x:c>
      <x:c r="H51"/>
      <x:c r="J51" s="224" t="s">
        <x:v>218</x:v>
      </x:c>
      <x:c r="K51" s="224"/>
      <x:c r="L51" s="224"/>
      <x:c r="M51" s="224"/>
      <x:c r="N51" s="224"/>
      <x:c r="O51" s="224"/>
      <x:c r="P51" s="224"/>
    </x:row>
    <x:row r="52" spans="1:16" s="31" customFormat="1" ht="25.19999999999999928946" customHeight="1">
      <x:c r="A52" s="209"/>
      <x:c r="B52" s="216"/>
      <x:c r="C52" s="34" t="s">
        <x:v>150</x:v>
      </x:c>
      <x:c r="D52" s="35" t="str">
        <x:f>IF($G$51=$G$61,$B$59,$D$59)</x:f>
        <x:v>□</x:v>
      </x:c>
      <x:c r="E52" s="103" t="s">
        <x:v>380</x:v>
      </x:c>
      <x:c r="F52" s="219"/>
      <x:c r="G52" s="222"/>
      <x:c r="H52"/>
      <x:c r="J52" s="225"/>
      <x:c r="K52" s="225"/>
      <x:c r="L52" s="225"/>
      <x:c r="M52" s="225"/>
      <x:c r="N52" s="225"/>
      <x:c r="O52" s="225"/>
      <x:c r="P52" s="225"/>
    </x:row>
    <x:row r="53" spans="1:16" s="31" customFormat="1" ht="20.10000000000000142109" customHeight="1">
      <x:c r="A53" s="209"/>
      <x:c r="B53" s="217"/>
      <x:c r="C53" s="36" t="s">
        <x:v>161</x:v>
      </x:c>
      <x:c r="D53" s="35" t="str">
        <x:f>IF($G$51=$G$62,$B$59,$D$59)</x:f>
        <x:v>□</x:v>
      </x:c>
      <x:c r="E53" s="37" t="s">
        <x:v>125</x:v>
      </x:c>
      <x:c r="F53" s="220"/>
      <x:c r="G53" s="223"/>
      <x:c r="H53"/>
      <x:c r="J53" s="226"/>
      <x:c r="K53" s="226"/>
      <x:c r="L53" s="226"/>
      <x:c r="M53" s="226"/>
      <x:c r="N53" s="226"/>
      <x:c r="O53" s="226"/>
      <x:c r="P53" s="226"/>
    </x:row>
    <x:row r="54" spans="1:16" s="31" customFormat="1" ht="27.75" customHeight="1">
      <x:c r="A54" s="208" t="s">
        <x:v>291</x:v>
      </x:c>
      <x:c r="B54" s="215" t="s">
        <x:v>24</x:v>
      </x:c>
      <x:c r="C54" s="32" t="s">
        <x:v>179</x:v>
      </x:c>
      <x:c r="D54" s="33" t="str">
        <x:f>IF($G$54=$F$60,$B$59,$D$59)</x:f>
        <x:v>☑</x:v>
      </x:c>
      <x:c r="E54" s="33" t="s">
        <x:v>197</x:v>
      </x:c>
      <x:c r="F54" s="230" t="s">
        <x:v>294</x:v>
      </x:c>
      <x:c r="G54" s="221">
        <x:v>3</x:v>
      </x:c>
      <x:c r="H54"/>
      <x:c r="J54" s="224" t="s">
        <x:v>195</x:v>
      </x:c>
      <x:c r="K54" s="224"/>
      <x:c r="L54" s="224"/>
      <x:c r="M54" s="224"/>
      <x:c r="N54" s="224"/>
      <x:c r="O54" s="224"/>
      <x:c r="P54" s="224"/>
    </x:row>
    <x:row r="55" spans="1:19" s="31" customFormat="1" ht="27.75" customHeight="1">
      <x:c r="A55" s="210"/>
      <x:c r="B55" s="217"/>
      <x:c r="C55" s="36" t="s">
        <x:v>161</x:v>
      </x:c>
      <x:c r="D55" s="37" t="str">
        <x:f>IF($G$54=$F$61,$B$59,$D$59)</x:f>
        <x:v>□</x:v>
      </x:c>
      <x:c r="E55" s="37" t="s">
        <x:v>124</x:v>
      </x:c>
      <x:c r="F55" s="220"/>
      <x:c r="G55" s="223"/>
      <x:c r="H55"/>
      <x:c r="J55" s="226"/>
      <x:c r="K55" s="226"/>
      <x:c r="L55" s="226"/>
      <x:c r="M55" s="226"/>
      <x:c r="N55" s="226"/>
      <x:c r="O55" s="226"/>
      <x:c r="P55" s="226"/>
      <x:c r="Q55" s="11"/>
      <x:c r="R55" s="11"/>
      <x:c r="S55" s="11"/>
    </x:row>
    <x:row r="56" spans="2:15" s="11" customFormat="1" ht="14.09999999999999964473" customHeight="1">
      <x:c r="B56" s="17"/>
      <x:c r="C56" s="17"/>
      <x:c r="D56" s="17"/>
      <x:c r="E56" s="17"/>
      <x:c r="F56" s="12"/>
      <x:c r="G56" s="13"/>
      <x:c r="H56"/>
      <x:c r="I56" s="57"/>
      <x:c r="J56" s="57"/>
      <x:c r="K56" s="57"/>
      <x:c r="L56" s="57"/>
      <x:c r="M56" s="57"/>
      <x:c r="N56" s="57"/>
      <x:c r="O56" s="57"/>
    </x:row>
    <x:row r="57" spans="2:15" s="11" customFormat="1" ht="14.09999999999999964473" hidden="1" customHeight="1">
      <x:c r="B57" s="232"/>
      <x:c r="C57" s="232"/>
      <x:c r="D57" s="232"/>
      <x:c r="E57" s="232"/>
      <x:c r="F57" s="12"/>
      <x:c r="G57" s="13"/>
      <x:c r="H57"/>
      <x:c r="I57" s="57"/>
      <x:c r="J57" s="57"/>
      <x:c r="K57" s="57"/>
      <x:c r="L57" s="57"/>
      <x:c r="M57" s="57"/>
      <x:c r="N57" s="57"/>
      <x:c r="O57" s="57"/>
    </x:row>
    <x:row r="58" spans="2:15" s="11" customFormat="1" ht="14.09999999999999964473" hidden="1" customHeight="1">
      <x:c r="B58" s="232"/>
      <x:c r="C58" s="232"/>
      <x:c r="D58" s="232"/>
      <x:c r="E58" s="232"/>
      <x:c r="F58" s="12"/>
      <x:c r="G58" s="13"/>
      <x:c r="H58"/>
      <x:c r="I58" s="57"/>
      <x:c r="J58" s="57"/>
      <x:c r="K58" s="57"/>
      <x:c r="L58" s="57"/>
      <x:c r="M58" s="57"/>
      <x:c r="N58" s="57"/>
      <x:c r="O58" s="57"/>
    </x:row>
    <x:row r="59" spans="1:15" s="11" customFormat="1" ht="15" hidden="1" customHeight="1">
      <x:c r="A59" s="29"/>
      <x:c r="B59" s="5" t="s">
        <x:v>156</x:v>
      </x:c>
      <x:c r="C59" s="5"/>
      <x:c r="D59" s="5" t="s">
        <x:v>153</x:v>
      </x:c>
      <x:c r="E59" s="12"/>
      <x:c r="G59" s="13"/>
      <x:c r="H59"/>
      <x:c r="I59" s="57"/>
      <x:c r="J59" s="57"/>
      <x:c r="K59" s="57"/>
      <x:c r="L59" s="57"/>
      <x:c r="M59" s="57"/>
      <x:c r="N59" s="57"/>
      <x:c r="O59" s="57"/>
    </x:row>
    <x:row r="60" spans="1:19" s="11" customFormat="1" ht="14.09999999999999964473" hidden="1" customHeight="1">
      <x:c r="A60" s="50">
        <x:v>2</x:v>
      </x:c>
      <x:c r="B60" s="50">
        <x:v>1</x:v>
      </x:c>
      <x:c r="C60" s="50"/>
      <x:c r="D60" s="50">
        <x:v>2</x:v>
      </x:c>
      <x:c r="E60" s="50">
        <x:v>1</x:v>
      </x:c>
      <x:c r="F60" s="11">
        <x:v>3</x:v>
      </x:c>
      <x:c r="G60" s="13">
        <x:v>3</x:v>
      </x:c>
      <x:c r="H60"/>
      <x:c r="I60" s="57"/>
      <x:c r="J60" s="57"/>
      <x:c r="K60" s="57"/>
      <x:c r="L60" s="57"/>
      <x:c r="M60" s="57"/>
      <x:c r="N60" s="57"/>
      <x:c r="O60" s="57"/>
      <x:c r="Q60" s="1"/>
      <x:c r="R60" s="1"/>
      <x:c r="S60" s="1"/>
    </x:row>
    <x:row r="61" spans="1:7" ht="14.09999999999999964473" hidden="1" customHeight="1">
      <x:c r="A61" s="50">
        <x:v>1</x:v>
      </x:c>
      <x:c r="B61" s="50">
        <x:v>0.5</x:v>
      </x:c>
      <x:c r="C61" s="50"/>
      <x:c r="D61" s="50">
        <x:v>0</x:v>
      </x:c>
      <x:c r="E61" s="50">
        <x:v>0</x:v>
      </x:c>
      <x:c r="F61" s="15">
        <x:v>0</x:v>
      </x:c>
      <x:c r="G61" s="3">
        <x:v>1.5</x:v>
      </x:c>
    </x:row>
    <x:row r="62" spans="1:7" ht="14.09999999999999964473" hidden="1" customHeight="1">
      <x:c r="A62" s="51">
        <x:v>0</x:v>
      </x:c>
      <x:c r="B62" s="51">
        <x:v>0</x:v>
      </x:c>
      <x:c r="C62" s="53"/>
      <x:c r="D62" s="17"/>
      <x:c r="E62" s="15"/>
      <x:c r="G62" s="3">
        <x:v>0</x:v>
      </x:c>
    </x:row>
    <x:row r="63" hidden="1"/>
  </x:sheetData>
  <x:mergeCells count="191">
    <x:mergeCell ref="C4:E4"/>
    <x:mergeCell ref="A5:A25"/>
    <x:mergeCell ref="B5:B7"/>
    <x:mergeCell ref="F5:F7"/>
    <x:mergeCell ref="G5:G7"/>
    <x:mergeCell ref="J5:J7"/>
    <x:mergeCell ref="K5:K7"/>
    <x:mergeCell ref="L5:L7"/>
    <x:mergeCell ref="M5:M7"/>
    <x:mergeCell ref="N5:N7"/>
    <x:mergeCell ref="O5:O7"/>
    <x:mergeCell ref="P5:P7"/>
    <x:mergeCell ref="A6:A25"/>
    <x:mergeCell ref="B8:B10"/>
    <x:mergeCell ref="F8:F10"/>
    <x:mergeCell ref="G8:G10"/>
    <x:mergeCell ref="J8:J10"/>
    <x:mergeCell ref="K8:K10"/>
    <x:mergeCell ref="L8:L10"/>
    <x:mergeCell ref="M8:M10"/>
    <x:mergeCell ref="N8:N10"/>
    <x:mergeCell ref="O8:O10"/>
    <x:mergeCell ref="P8:P10"/>
    <x:mergeCell ref="B11:B13"/>
    <x:mergeCell ref="F11:F13"/>
    <x:mergeCell ref="G11:G13"/>
    <x:mergeCell ref="J11:J13"/>
    <x:mergeCell ref="K11:K13"/>
    <x:mergeCell ref="L11:L13"/>
    <x:mergeCell ref="M11:M13"/>
    <x:mergeCell ref="N11:N13"/>
    <x:mergeCell ref="O11:O13"/>
    <x:mergeCell ref="P11:P13"/>
    <x:mergeCell ref="B14:B16"/>
    <x:mergeCell ref="F14:F16"/>
    <x:mergeCell ref="G14:G16"/>
    <x:mergeCell ref="J14:J16"/>
    <x:mergeCell ref="K14:K16"/>
    <x:mergeCell ref="L14:L16"/>
    <x:mergeCell ref="M14:M16"/>
    <x:mergeCell ref="N14:N16"/>
    <x:mergeCell ref="O14:O16"/>
    <x:mergeCell ref="P14:P16"/>
    <x:mergeCell ref="B17:B19"/>
    <x:mergeCell ref="F17:F19"/>
    <x:mergeCell ref="G17:G19"/>
    <x:mergeCell ref="J17:J19"/>
    <x:mergeCell ref="K17:K19"/>
    <x:mergeCell ref="L17:L19"/>
    <x:mergeCell ref="M17:M19"/>
    <x:mergeCell ref="N17:N19"/>
    <x:mergeCell ref="O17:O19"/>
    <x:mergeCell ref="P17:P19"/>
    <x:mergeCell ref="B20:B22"/>
    <x:mergeCell ref="F20:F22"/>
    <x:mergeCell ref="G20:G22"/>
    <x:mergeCell ref="J20:J22"/>
    <x:mergeCell ref="K20:K22"/>
    <x:mergeCell ref="L20:L22"/>
    <x:mergeCell ref="M20:M22"/>
    <x:mergeCell ref="N20:N22"/>
    <x:mergeCell ref="O20:O22"/>
    <x:mergeCell ref="P20:P22"/>
    <x:mergeCell ref="B23:B25"/>
    <x:mergeCell ref="F23:F25"/>
    <x:mergeCell ref="G23:G25"/>
    <x:mergeCell ref="J23:J25"/>
    <x:mergeCell ref="K23:K25"/>
    <x:mergeCell ref="L23:L25"/>
    <x:mergeCell ref="M23:M25"/>
    <x:mergeCell ref="N23:N25"/>
    <x:mergeCell ref="O23:O25"/>
    <x:mergeCell ref="P23:P25"/>
    <x:mergeCell ref="A26:A40"/>
    <x:mergeCell ref="B26:B28"/>
    <x:mergeCell ref="F26:F28"/>
    <x:mergeCell ref="G26:G28"/>
    <x:mergeCell ref="J26:J28"/>
    <x:mergeCell ref="K26:K28"/>
    <x:mergeCell ref="L26:L28"/>
    <x:mergeCell ref="M26:M28"/>
    <x:mergeCell ref="N26:N28"/>
    <x:mergeCell ref="O26:O28"/>
    <x:mergeCell ref="P26:P28"/>
    <x:mergeCell ref="B29:B31"/>
    <x:mergeCell ref="F29:F31"/>
    <x:mergeCell ref="G29:G31"/>
    <x:mergeCell ref="J29:J31"/>
    <x:mergeCell ref="K29:K31"/>
    <x:mergeCell ref="L29:L31"/>
    <x:mergeCell ref="M29:M31"/>
    <x:mergeCell ref="N29:N31"/>
    <x:mergeCell ref="O29:O31"/>
    <x:mergeCell ref="P29:P31"/>
    <x:mergeCell ref="B32:B34"/>
    <x:mergeCell ref="F32:F34"/>
    <x:mergeCell ref="G32:G34"/>
    <x:mergeCell ref="J32:J34"/>
    <x:mergeCell ref="K32:K34"/>
    <x:mergeCell ref="L32:L34"/>
    <x:mergeCell ref="M32:M34"/>
    <x:mergeCell ref="N32:N34"/>
    <x:mergeCell ref="O32:O34"/>
    <x:mergeCell ref="P32:P34"/>
    <x:mergeCell ref="B35:B37"/>
    <x:mergeCell ref="F35:F37"/>
    <x:mergeCell ref="G35:G37"/>
    <x:mergeCell ref="J35:J37"/>
    <x:mergeCell ref="K35:K37"/>
    <x:mergeCell ref="L35:L37"/>
    <x:mergeCell ref="M35:M37"/>
    <x:mergeCell ref="N35:N37"/>
    <x:mergeCell ref="O35:O37"/>
    <x:mergeCell ref="P35:P37"/>
    <x:mergeCell ref="B38:B40"/>
    <x:mergeCell ref="F38:F40"/>
    <x:mergeCell ref="G38:G40"/>
    <x:mergeCell ref="J38:J40"/>
    <x:mergeCell ref="K38:K40"/>
    <x:mergeCell ref="L38:L40"/>
    <x:mergeCell ref="M38:M40"/>
    <x:mergeCell ref="N38:N40"/>
    <x:mergeCell ref="O38:O40"/>
    <x:mergeCell ref="P38:P40"/>
    <x:mergeCell ref="A41:A44"/>
    <x:mergeCell ref="B41:B42"/>
    <x:mergeCell ref="F41:F42"/>
    <x:mergeCell ref="G41:G42"/>
    <x:mergeCell ref="J41:J42"/>
    <x:mergeCell ref="K41:K42"/>
    <x:mergeCell ref="L41:L42"/>
    <x:mergeCell ref="M41:M42"/>
    <x:mergeCell ref="N41:N42"/>
    <x:mergeCell ref="O41:O42"/>
    <x:mergeCell ref="P41:P42"/>
    <x:mergeCell ref="B43:B44"/>
    <x:mergeCell ref="F43:F44"/>
    <x:mergeCell ref="G43:G44"/>
    <x:mergeCell ref="J43:J44"/>
    <x:mergeCell ref="K43:K44"/>
    <x:mergeCell ref="L43:L44"/>
    <x:mergeCell ref="M43:M44"/>
    <x:mergeCell ref="N43:N44"/>
    <x:mergeCell ref="O43:O44"/>
    <x:mergeCell ref="P43:P44"/>
    <x:mergeCell ref="A45:A47"/>
    <x:mergeCell ref="B45:B47"/>
    <x:mergeCell ref="F45:F47"/>
    <x:mergeCell ref="G45:G47"/>
    <x:mergeCell ref="J45:J47"/>
    <x:mergeCell ref="K45:K47"/>
    <x:mergeCell ref="L45:L47"/>
    <x:mergeCell ref="M45:M47"/>
    <x:mergeCell ref="N45:N47"/>
    <x:mergeCell ref="O45:O47"/>
    <x:mergeCell ref="P45:P47"/>
    <x:mergeCell ref="A48:A50"/>
    <x:mergeCell ref="B48:B50"/>
    <x:mergeCell ref="F48:F50"/>
    <x:mergeCell ref="G48:G50"/>
    <x:mergeCell ref="J48:J50"/>
    <x:mergeCell ref="K48:K50"/>
    <x:mergeCell ref="L48:L50"/>
    <x:mergeCell ref="M48:M50"/>
    <x:mergeCell ref="N48:N50"/>
    <x:mergeCell ref="O48:O50"/>
    <x:mergeCell ref="P48:P50"/>
    <x:mergeCell ref="A51:A53"/>
    <x:mergeCell ref="B51:B53"/>
    <x:mergeCell ref="F51:F53"/>
    <x:mergeCell ref="G51:G53"/>
    <x:mergeCell ref="J51:J53"/>
    <x:mergeCell ref="K51:K53"/>
    <x:mergeCell ref="L51:L53"/>
    <x:mergeCell ref="M51:M53"/>
    <x:mergeCell ref="N51:N53"/>
    <x:mergeCell ref="O51:O53"/>
    <x:mergeCell ref="P51:P53"/>
    <x:mergeCell ref="A54:A55"/>
    <x:mergeCell ref="B54:B55"/>
    <x:mergeCell ref="F54:F55"/>
    <x:mergeCell ref="G54:G55"/>
    <x:mergeCell ref="J54:J55"/>
    <x:mergeCell ref="K54:K55"/>
    <x:mergeCell ref="L54:L55"/>
    <x:mergeCell ref="M54:M55"/>
    <x:mergeCell ref="N54:N55"/>
    <x:mergeCell ref="O54:O55"/>
    <x:mergeCell ref="P54:P55"/>
    <x:mergeCell ref="B57:E57"/>
    <x:mergeCell ref="B58:E58"/>
  </x:mergeCells>
  <x:conditionalFormatting sqref="G5:G55">
    <x:cfRule type="cellIs" dxfId="12" priority="1" stopIfTrue="1" operator="equal">
      <x:formula>""</x:formula>
    </x:cfRule>
  </x:conditionalFormatting>
  <x:dataValidations count="4">
    <x:dataValidation type="list" operator="equal" allowBlank="1" showInputMessage="1" showErrorMessage="1" errorTitle="입력오류" error="목록에서 선택해 주세요!" sqref="G23:G25 G11:G13">
      <x:formula1>$A$60:$A$62</x:formula1>
    </x:dataValidation>
    <x:dataValidation type="list" operator="equal" allowBlank="1" showInputMessage="1" showErrorMessage="1" errorTitle="입력오류" error="목록에서 선택해 주세요!" sqref="G41:G44 G54:G55">
      <x:formula1>$F$60:$F$61</x:formula1>
    </x:dataValidation>
    <x:dataValidation type="list" operator="equal" allowBlank="1" showInputMessage="1" showErrorMessage="1" errorTitle="입력오류" error="목록에서 선택해 주세요!" sqref="G5:G10 G26:G40 G14:G22 G45:G53">
      <x:formula1>$G$60:$G$62</x:formula1>
    </x:dataValidation>
    <x:dataValidation type="list" errorStyle="information" operator="equal" allowBlank="1" showInputMessage="1" showErrorMessage="1" errorTitle="입력주의사항" error="목록에서 선택해주세요! _x000a_직접입력시 [확인]을 눌러주세요." sqref="F5:F63">
      <x:formula1>$J5:$O5</x:formula1>
    </x:dataValidation>
  </x:dataValidations>
  <x:printOptions horizontalCentered="1" verticalCentered="0" headings="0" gridLines="0" gridLinesSet="1"/>
  <x:pageMargins left="0.69972223043441772461" right="0.69972223043441772461" top="0.75" bottom="0.75" header="0.30000001192092895508" footer="0.30000001192092895508"/>
  <x:pageSetup paperSize="9" scale="96" firstPageNumber="1" fitToWidth="1" fitToHeight="0" orientation="portrait" usePrinterDefaults="1" blackAndWhite="0" draft="0" useFirstPageNumber="0" horizontalDpi="600" verticalDpi="600" copies="1"/>
  <x:rowBreaks count="2" manualBreakCount="2">
    <x:brk id="25" min="0" max="1048575" man="1" pt="0"/>
    <x:brk id="55" min="0" max="1048575" man="1" pt="0"/>
  </x:rowBreaks>
  <x:colBreaks count="1" manualBreakCount="1">
    <x:brk id="6" min="0" max="16383" man="1" pt="0"/>
  </x:colBreak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cffff"/>
    <x:pageSetUpPr autoPageBreaks="1" fitToPage="1"/>
  </x:sheetPr>
  <x:dimension ref="A1:F15"/>
  <x:sheetViews>
    <x:sheetView showGridLines="0" view="pageBreakPreview" topLeftCell="A1" zoomScaleNormal="100" zoomScaleSheetLayoutView="100" workbookViewId="0">
      <x:pane xSplit="0" ySplit="4" topLeftCell="A5" activePane="bottomLeft" state="frozen"/>
      <x:selection pane="bottomLeft" activeCell="C33" activeCellId="0" sqref="C33:C33"/>
    </x:sheetView>
  </x:sheetViews>
  <x:sheetFormatPr defaultColWidth="8.796875" defaultRowHeight="13.55000000000000071054"/>
  <x:cols>
    <x:col min="1" max="1" width="8.77734375" style="1" customWidth="1"/>
    <x:col min="2" max="2" width="41.33203125" style="1" customWidth="1"/>
    <x:col min="3" max="3" width="31.33203125" style="1" customWidth="1"/>
    <x:col min="4" max="4" width="6.5546875" style="1" customWidth="1"/>
    <x:col min="5" max="5" width="8.88671875" style="1" bestFit="1" customWidth="1"/>
    <x:col min="6" max="256" width="8.88671875" style="1"/>
  </x:cols>
  <x:sheetData>
    <x:row r="1" spans="1:6" s="29" customFormat="1" ht="30" customHeight="1">
      <x:c r="A1" s="233" t="s">
        <x:v>368</x:v>
      </x:c>
      <x:c r="B1" s="233"/>
      <x:c r="D1" s="63"/>
      <x:c r="E1" s="1"/>
      <x:c r="F1" s="15"/>
    </x:row>
    <x:row r="2" spans="1:6" s="2" customFormat="1" ht="30" customHeight="1">
      <x:c r="A2" s="22" t="s">
        <x:v>229</x:v>
      </x:c>
      <x:c r="B2" s="39"/>
      <x:c r="C2" s="39"/>
      <x:c r="D2" s="2" t="s">
        <x:v>311</x:v>
      </x:c>
      <x:c r="E2" s="2">
        <x:f>-SUM(D5:D8)</x:f>
        <x:v>0</x:v>
      </x:c>
      <x:c r="F2" s="2" t="s">
        <x:v>180</x:v>
      </x:c>
    </x:row>
    <x:row r="4" spans="1:4" s="11" customFormat="1" ht="30" customHeight="1">
      <x:c r="A4" s="116" t="s">
        <x:v>320</x:v>
      </x:c>
      <x:c r="B4" s="116" t="s">
        <x:v>243</x:v>
      </x:c>
      <x:c r="C4" s="116" t="s">
        <x:v>183</x:v>
      </x:c>
      <x:c r="D4" s="60" t="s">
        <x:v>172</x:v>
      </x:c>
    </x:row>
    <x:row r="5" spans="1:4" s="12" customFormat="1" ht="57.75" customHeight="1">
      <x:c r="A5" s="206" t="s">
        <x:v>207</x:v>
      </x:c>
      <x:c r="B5" s="76" t="s">
        <x:v>77</x:v>
      </x:c>
      <x:c r="C5" s="7" t="str">
        <x:f>IF(D5&gt;0,"지도 사항을 상세히 기재해 주세요!","")</x:f>
        <x:v/>
      </x:c>
      <x:c r="D5" s="64">
        <x:v>0</x:v>
      </x:c>
    </x:row>
    <x:row r="6" spans="1:4" s="12" customFormat="1" ht="57.75" customHeight="1">
      <x:c r="A6" s="207"/>
      <x:c r="B6" s="61" t="s">
        <x:v>58</x:v>
      </x:c>
      <x:c r="C6" s="7" t="str">
        <x:f>IF(D6&gt;0,"지도 사항을 상세히 기재해 주세요!","")</x:f>
        <x:v/>
      </x:c>
      <x:c r="D6" s="64">
        <x:v>0</x:v>
      </x:c>
    </x:row>
    <x:row r="7" spans="1:4" s="12" customFormat="1" ht="57.75" customHeight="1">
      <x:c r="A7" s="207"/>
      <x:c r="B7" s="61" t="s">
        <x:v>42</x:v>
      </x:c>
      <x:c r="C7" s="7" t="str">
        <x:f>IF(D7&gt;0,"지도 사항을 상세히 기재해 주세요!","")</x:f>
        <x:v/>
      </x:c>
      <x:c r="D7" s="64">
        <x:v>0</x:v>
      </x:c>
    </x:row>
    <x:row r="8" spans="1:4" s="12" customFormat="1" ht="57.75" customHeight="1">
      <x:c r="A8" s="207"/>
      <x:c r="B8" s="61" t="s">
        <x:v>220</x:v>
      </x:c>
      <x:c r="C8" s="7" t="str">
        <x:f>IF(D8&gt;0,"지도 사항을 상세히 기재해 주세요!","")</x:f>
        <x:v/>
      </x:c>
      <x:c r="D8" s="64">
        <x:v>0</x:v>
      </x:c>
    </x:row>
    <x:row r="9" spans="3:3" s="11" customFormat="1">
      <x:c r="C9"/>
    </x:row>
    <x:row r="10" spans="1:2" s="11" customFormat="1" ht="11.94999999999999928946" hidden="1">
      <x:c r="A10" s="65">
        <x:v>0</x:v>
      </x:c>
      <x:c r="B10" s="66">
        <x:v>0</x:v>
      </x:c>
    </x:row>
    <x:row r="11" spans="1:2" s="11" customFormat="1" ht="11.94999999999999928946" hidden="1">
      <x:c r="A11" s="65">
        <x:v>5</x:v>
      </x:c>
      <x:c r="B11" s="66">
        <x:v>10</x:v>
      </x:c>
    </x:row>
    <x:row r="12" spans="1:2" s="11" customFormat="1" ht="11.94999999999999928946" hidden="1">
      <x:c r="A12" s="65">
        <x:v>10</x:v>
      </x:c>
      <x:c r="B12" s="66">
        <x:v>20</x:v>
      </x:c>
    </x:row>
    <x:row r="13" spans="1:2" s="11" customFormat="1" ht="11.94999999999999928946" hidden="1">
      <x:c r="A13" s="65">
        <x:v>15</x:v>
      </x:c>
      <x:c r="B13" s="66">
        <x:v>30</x:v>
      </x:c>
    </x:row>
    <x:row r="14" spans="1:2" s="11" customFormat="1" ht="11.94999999999999928946" hidden="1">
      <x:c r="A14" s="65">
        <x:v>20</x:v>
      </x:c>
      <x:c r="B14" s="66">
        <x:v>40</x:v>
      </x:c>
    </x:row>
    <x:row r="15" spans="1:2" s="11" customFormat="1" ht="11.94999999999999928946" hidden="1">
      <x:c r="A15" s="65">
        <x:v>25</x:v>
      </x:c>
      <x:c r="B15" s="66">
        <x:v>50</x:v>
      </x:c>
    </x:row>
    <x:row r="16" s="11" customFormat="1" ht="11.94999999999999928946"/>
    <x:row r="17" s="11" customFormat="1" ht="11.94999999999999928946"/>
    <x:row r="18" s="11" customFormat="1" ht="11.94999999999999928946"/>
    <x:row r="19" s="11" customFormat="1" ht="11.94999999999999928946"/>
    <x:row r="20" s="11" customFormat="1" ht="11.94999999999999928946"/>
    <x:row r="21" s="11" customFormat="1" ht="11.94999999999999928946"/>
    <x:row r="22" s="11" customFormat="1" ht="11.94999999999999928946"/>
    <x:row r="23" s="11" customFormat="1" ht="11.94999999999999928946"/>
    <x:row r="24" s="11" customFormat="1" ht="11.94999999999999928946"/>
    <x:row r="25" s="11" customFormat="1" ht="11.94999999999999928946"/>
    <x:row r="26" s="11" customFormat="1" ht="11.94999999999999928946"/>
    <x:row r="27" s="11" customFormat="1" ht="11.94999999999999928946"/>
    <x:row r="28" s="11" customFormat="1" ht="11.94999999999999928946"/>
    <x:row r="29" s="11" customFormat="1" ht="11.94999999999999928946"/>
    <x:row r="30" s="11" customFormat="1" ht="11.94999999999999928946"/>
    <x:row r="31" s="11" customFormat="1" ht="11.94999999999999928946"/>
    <x:row r="32" s="11" customFormat="1" ht="11.94999999999999928946"/>
    <x:row r="33" s="11" customFormat="1" ht="11.94999999999999928946"/>
    <x:row r="34" s="11" customFormat="1" ht="11.94999999999999928946"/>
    <x:row r="35" s="11" customFormat="1" ht="11.94999999999999928946"/>
    <x:row r="36" s="11" customFormat="1" ht="11.94999999999999928946"/>
    <x:row r="37" s="11" customFormat="1" ht="11.94999999999999928946"/>
    <x:row r="38" s="11" customFormat="1" ht="11.94999999999999928946"/>
  </x:sheetData>
  <x:mergeCells count="2">
    <x:mergeCell ref="A1:B1"/>
    <x:mergeCell ref="A5:A8"/>
  </x:mergeCells>
  <x:conditionalFormatting sqref="D5:D8">
    <x:cfRule type="cellIs" dxfId="12" priority="3" stopIfTrue="1" operator="equal">
      <x:formula>""</x:formula>
    </x:cfRule>
  </x:conditionalFormatting>
  <x:dataValidations count="5">
    <x:dataValidation allowBlank="1" showInputMessage="1" showErrorMessage="1" prompt="행정처분 기관, 위반한(과태료 처분) 식품위생관계법령 기재" sqref="C7:C7"/>
    <x:dataValidation type="list" allowBlank="1" showInputMessage="1" showErrorMessage="1" errorTitle="입력오류" error="목록에서 선택해 주세요!" sqref="D5:D5 D7:D8">
      <x:formula1>$B$10:$B$15</x:formula1>
    </x:dataValidation>
    <x:dataValidation type="list" allowBlank="1" showInputMessage="1" showErrorMessage="1" errorTitle="입력오류" error="목록에서 선택해 주세요!" sqref="D6:D6">
      <x:formula1>$A$10:$A$15</x:formula1>
    </x:dataValidation>
    <x:dataValidation allowBlank="1" showInputMessage="1" showErrorMessage="1" prompt="해당 항목 번호와 지적사항 기재_x000a__x000a_예) 4. 건강진단 실시 미준수_x000a_     7. 조리전, 후 용기 구분 미흡" sqref="C5:C5"/>
    <x:dataValidation allowBlank="1" showInputMessage="1" showErrorMessage="1" prompt="해당 항목 번호와 지적사항 기재" sqref="C6:C6"/>
  </x:dataValidations>
  <x:printOptions horizontalCentered="1" verticalCentered="0" headings="0" gridLines="0" gridLinesSet="1"/>
  <x:pageMargins left="0.70861113071441650391" right="0.70861113071441650391" top="0.74750000238418579102" bottom="0.74750000238418579102" header="0.31486111879348754883" footer="0.31486111879348754883"/>
  <x:pageSetup paperSize="9" scale="96" firstPageNumber="1" fitToWidth="1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ffffcc"/>
    <x:pageSetUpPr autoPageBreaks="1" fitToPage="1"/>
  </x:sheetPr>
  <x:dimension ref="A2:AZ22"/>
  <x:sheetViews>
    <x:sheetView view="pageBreakPreview" topLeftCell="A1" zoomScaleNormal="100" zoomScaleSheetLayoutView="100" workbookViewId="0">
      <x:selection activeCell="G3" activeCellId="0" sqref="G3:G3"/>
    </x:sheetView>
  </x:sheetViews>
  <x:sheetFormatPr defaultColWidth="8.796875" defaultRowHeight="13.55000000000000071054"/>
  <x:cols>
    <x:col min="1" max="1" width="12" customWidth="1"/>
    <x:col min="2" max="2" width="9.03515625" style="80" bestFit="1" customWidth="1"/>
    <x:col min="3" max="3" width="20.77734375" customWidth="1"/>
    <x:col min="4" max="5" width="25.77734375" customWidth="1"/>
    <x:col min="6" max="6" width="13.69921875" customWidth="1"/>
    <x:col min="7" max="7" width="21.3984375" customWidth="1"/>
    <x:col min="8" max="8" width="5.33203125" customWidth="1"/>
    <x:col min="15" max="15" width="8.796875" hidden="1"/>
  </x:cols>
  <x:sheetData>
    <x:row r="2" spans="1:7" ht="41.25" customHeight="1">
      <x:c r="A2" s="234" t="s">
        <x:v>258</x:v>
      </x:c>
      <x:c r="B2" s="234"/>
      <x:c r="C2" s="234"/>
      <x:c r="D2" s="234"/>
      <x:c r="E2" s="234"/>
      <x:c r="F2" s="234"/>
      <x:c r="G2" s="234"/>
    </x:row>
    <x:row r="3" spans="2:2" customFormat="1">
      <x:c r="B3" s="80"/>
    </x:row>
    <x:row r="4" spans="1:15" s="46" customFormat="1" ht="30" customHeight="1">
      <x:c r="A4" s="81" t="s">
        <x:v>337</x:v>
      </x:c>
      <x:c r="B4" s="82"/>
      <x:c r="C4" s="81"/>
      <x:c r="D4" s="81"/>
      <x:c r="E4" s="82"/>
      <x:c r="F4" s="82"/>
      <x:c r="H4" s="1"/>
      <x:c r="I4" s="48"/>
      <x:c r="O4" s="46" t="s">
        <x:v>162</x:v>
      </x:c>
    </x:row>
    <x:row r="5" spans="1:15" s="1" customFormat="1" ht="30" customHeight="1">
      <x:c r="A5" s="140" t="s">
        <x:v>196</x:v>
      </x:c>
      <x:c r="B5" s="140"/>
      <x:c r="C5" s="140"/>
      <x:c r="D5" s="140"/>
      <x:c r="E5" s="140"/>
      <x:c r="F5" s="77"/>
      <x:c r="H5" s="83"/>
      <x:c r="I5" s="2"/>
      <x:c r="O5" s="1" t="s">
        <x:v>176</x:v>
      </x:c>
    </x:row>
    <x:row r="6" spans="1:9" s="1" customFormat="1" ht="13.5" customHeight="1">
      <x:c r="A6" s="84"/>
      <x:c r="B6" s="79"/>
      <x:c r="C6" s="84"/>
      <x:c r="D6" s="84"/>
      <x:c r="E6" s="84"/>
      <x:c r="F6" s="84"/>
      <x:c r="I6" s="47"/>
    </x:row>
    <x:row r="7" spans="1:9" s="1" customFormat="1" ht="30" customHeight="1">
      <x:c r="A7" s="118" t="s">
        <x:v>304</x:v>
      </x:c>
      <x:c r="B7" s="118" t="s">
        <x:v>308</x:v>
      </x:c>
      <x:c r="C7" s="118" t="s">
        <x:v>297</x:v>
      </x:c>
      <x:c r="D7" s="235" t="s">
        <x:v>133</x:v>
      </x:c>
      <x:c r="E7" s="236"/>
      <x:c r="F7" s="118" t="s">
        <x:v>91</x:v>
      </x:c>
      <x:c r="G7" s="118" t="s">
        <x:v>246</x:v>
      </x:c>
      <x:c r="I7" s="47"/>
    </x:row>
    <x:row r="8" spans="1:9" s="1" customFormat="1" ht="70.20000000000000284217" customHeight="1">
      <x:c r="A8" s="8" t="s">
        <x:v>239</x:v>
      </x:c>
      <x:c r="B8" s="105" t="s">
        <x:v>350</x:v>
      </x:c>
      <x:c r="C8" s="85" t="s">
        <x:v>227</x:v>
      </x:c>
      <x:c r="D8" s="237" t="s">
        <x:v>15</x:v>
      </x:c>
      <x:c r="E8" s="238"/>
      <x:c r="F8" s="96"/>
      <x:c r="G8" s="135" t="s">
        <x:v>282</x:v>
      </x:c>
      <x:c r="I8" s="47"/>
    </x:row>
    <x:row r="9" spans="1:7" s="1" customFormat="1" ht="156.59999999999999431566" customHeight="1">
      <x:c r="A9" s="106" t="s">
        <x:v>296</x:v>
      </x:c>
      <x:c r="B9" s="106" t="s">
        <x:v>27</x:v>
      </x:c>
      <x:c r="C9" s="86" t="s">
        <x:v>382</x:v>
      </x:c>
      <x:c r="D9" s="239" t="s">
        <x:v>11</x:v>
      </x:c>
      <x:c r="E9" s="240"/>
      <x:c r="F9" s="107"/>
      <x:c r="G9" s="108" t="s">
        <x:v>217</x:v>
      </x:c>
    </x:row>
    <x:row r="10" spans="1:7" s="1" customFormat="1" ht="84.90000000000000568434" customHeight="1">
      <x:c r="A10" s="109" t="s">
        <x:v>188</x:v>
      </x:c>
      <x:c r="B10" s="110" t="s">
        <x:v>261</x:v>
      </x:c>
      <x:c r="C10" s="111" t="s">
        <x:v>50</x:v>
      </x:c>
      <x:c r="D10" s="241" t="s">
        <x:v>9</x:v>
      </x:c>
      <x:c r="E10" s="242"/>
      <x:c r="F10" s="113"/>
      <x:c r="G10" s="134" t="s">
        <x:v>369</x:v>
      </x:c>
    </x:row>
    <x:row r="11" spans="1:7" s="1" customFormat="1" ht="86.25" customHeight="1">
      <x:c r="A11" s="109" t="s">
        <x:v>200</x:v>
      </x:c>
      <x:c r="B11" s="110" t="s">
        <x:v>315</x:v>
      </x:c>
      <x:c r="C11" s="111" t="s">
        <x:v>48</x:v>
      </x:c>
      <x:c r="D11" s="241" t="s">
        <x:v>55</x:v>
      </x:c>
      <x:c r="E11" s="242"/>
      <x:c r="F11" s="112"/>
      <x:c r="G11" s="134" t="s">
        <x:v>330</x:v>
      </x:c>
    </x:row>
    <x:row r="12" spans="1:7" s="1" customFormat="1" ht="241.44999999999998863132" customHeight="1">
      <x:c r="A12" s="8" t="s">
        <x:v>117</x:v>
      </x:c>
      <x:c r="B12" s="8" t="s">
        <x:v>279</x:v>
      </x:c>
      <x:c r="C12" s="104" t="s">
        <x:v>143</x:v>
      </x:c>
      <x:c r="D12" s="243" t="s">
        <x:v>288</x:v>
      </x:c>
      <x:c r="E12" s="244"/>
      <x:c r="F12" s="97"/>
      <x:c r="G12" s="8" t="s">
        <x:v>234</x:v>
      </x:c>
    </x:row>
    <x:row r="13" spans="27:52" s="1" customFormat="1" ht="31.80000000000000071054" customHeight="1"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 spans="2:9" s="124" customFormat="1" ht="22.5" customHeight="1">
      <x:c r="B14" s="125"/>
      <x:c r="C14" s="126" t="s">
        <x:v>307</x:v>
      </x:c>
      <x:c r="D14" s="245" t="s">
        <x:v>191</x:v>
      </x:c>
      <x:c r="E14" s="245"/>
      <x:c r="F14" s="127"/>
      <x:c r="G14" s="127"/>
      <x:c r="H14" s="127"/>
      <x:c r="I14" s="127"/>
    </x:row>
    <x:row r="15" spans="2:9" s="124" customFormat="1" ht="22.5" customHeight="1">
      <x:c r="B15" s="125"/>
      <x:c r="C15" s="126"/>
      <x:c r="D15" s="126"/>
      <x:c r="E15" s="127"/>
      <x:c r="F15" s="127"/>
      <x:c r="G15" s="127"/>
      <x:c r="H15" s="127"/>
      <x:c r="I15" s="127"/>
    </x:row>
    <x:row r="16" spans="1:7" s="124" customFormat="1" ht="22.5" customHeight="1">
      <x:c r="A16" s="128" t="s">
        <x:v>283</x:v>
      </x:c>
      <x:c r="B16" s="130" t="s">
        <x:v>181</x:v>
      </x:c>
      <x:c r="C16" s="130"/>
      <x:c r="D16" s="129" t="s">
        <x:v>175</x:v>
      </x:c>
      <x:c r="E16" s="131" t="s">
        <x:v>149</x:v>
      </x:c>
      <x:c r="F16" s="132" t="s">
        <x:v>292</x:v>
      </x:c>
      <x:c r="G16" s="132"/>
    </x:row>
    <x:row r="17" spans="1:7" s="124" customFormat="1" ht="22.5" customHeight="1">
      <x:c r="A17" s="128" t="s">
        <x:v>283</x:v>
      </x:c>
      <x:c r="B17" s="130" t="s">
        <x:v>181</x:v>
      </x:c>
      <x:c r="C17" s="130"/>
      <x:c r="D17" s="129" t="s">
        <x:v>175</x:v>
      </x:c>
      <x:c r="E17" s="131" t="s">
        <x:v>149</x:v>
      </x:c>
      <x:c r="F17" s="132" t="s">
        <x:v>292</x:v>
      </x:c>
      <x:c r="G17" s="132"/>
    </x:row>
    <x:row r="18" spans="1:7" s="124" customFormat="1" ht="22.5" customHeight="1">
      <x:c r="A18" s="128" t="s">
        <x:v>274</x:v>
      </x:c>
      <x:c r="B18" s="130" t="s">
        <x:v>181</x:v>
      </x:c>
      <x:c r="C18" s="130"/>
      <x:c r="D18" s="129" t="s">
        <x:v>175</x:v>
      </x:c>
      <x:c r="E18" s="131" t="s">
        <x:v>149</x:v>
      </x:c>
      <x:c r="F18" s="132" t="s">
        <x:v>292</x:v>
      </x:c>
      <x:c r="G18" s="132"/>
    </x:row>
    <x:row r="19" spans="1:7" s="124" customFormat="1" ht="22.5" customHeight="1">
      <x:c r="A19" s="128" t="s">
        <x:v>274</x:v>
      </x:c>
      <x:c r="B19" s="130" t="s">
        <x:v>181</x:v>
      </x:c>
      <x:c r="C19" s="130"/>
      <x:c r="D19" s="129" t="s">
        <x:v>175</x:v>
      </x:c>
      <x:c r="E19" s="131" t="s">
        <x:v>149</x:v>
      </x:c>
      <x:c r="F19" s="132" t="s">
        <x:v>292</x:v>
      </x:c>
      <x:c r="G19" s="132"/>
    </x:row>
    <x:row r="20" spans="2:5">
      <x:c r="B20" s="98"/>
      <x:c r="C20" s="98"/>
      <x:c r="D20" s="98"/>
      <x:c r="E20" s="98"/>
    </x:row>
    <x:row r="21" spans="2:5">
      <x:c r="B21" s="98"/>
      <x:c r="C21" s="98"/>
      <x:c r="D21" s="98"/>
      <x:c r="E21" s="98"/>
    </x:row>
    <x:row r="22" spans="2:4" hidden="1">
      <x:c r="B22" s="50">
        <x:v>6</x:v>
      </x:c>
      <x:c r="C22" s="50">
        <x:v>0</x:v>
      </x:c>
      <x:c r="D22" s="117"/>
    </x:row>
  </x:sheetData>
  <x:mergeCells count="9">
    <x:mergeCell ref="A2:G2"/>
    <x:mergeCell ref="A5:E5"/>
    <x:mergeCell ref="D7:E7"/>
    <x:mergeCell ref="D8:E8"/>
    <x:mergeCell ref="D9:E9"/>
    <x:mergeCell ref="D10:E10"/>
    <x:mergeCell ref="D11:E11"/>
    <x:mergeCell ref="D12:E12"/>
    <x:mergeCell ref="D14:E14"/>
  </x:mergeCells>
  <x:conditionalFormatting sqref="F14:I14 E15:I15 D14:D14">
    <x:cfRule type="cellIs" dxfId="13" priority="1" stopIfTrue="1" operator="equal">
      <x:formula>"[Ctrl + ;] 입력"</x:formula>
    </x:cfRule>
  </x:conditionalFormatting>
  <x:dataValidations count="1">
    <x:dataValidation type="list" operator="equal" allowBlank="1" showInputMessage="1" showErrorMessage="1" sqref="F8:F12">
      <x:formula1>$O$4:$O$5</x:formula1>
    </x:dataValidation>
  </x:dataValidations>
  <x:printOptions horizontalCentered="1" verticalCentered="0" headings="0" gridLines="0" gridLinesSet="1"/>
  <x:pageMargins left="0.69972223043441772461" right="0.69972223043441772461" top="0.75" bottom="0.75" header="0.30000001192092895508" footer="0.30000001192092895508"/>
  <x:pageSetup paperSize="9" scale="64" firstPageNumber="1" fitToWidth="1" fitToHeight="0" orientation="portrait" usePrinterDefaults="1" blackAndWhite="0" draft="0" useFirstPageNumber="0" horizontalDpi="600" verticalDpi="600" copies="1"/>
  <x:rowBreaks count="1" manualBreakCount="1">
    <x:brk id="19" min="0" max="1048575" man="1" pt="0"/>
  </x:rowBreaks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ccccff"/>
  </x:sheetPr>
  <x:dimension ref="A2:AZ23"/>
  <x:sheetViews>
    <x:sheetView tabSelected="1" view="pageBreakPreview" topLeftCell="A1" zoomScaleNormal="100" zoomScaleSheetLayoutView="100" workbookViewId="0">
      <x:selection activeCell="G8" activeCellId="0" sqref="G8:G8"/>
    </x:sheetView>
  </x:sheetViews>
  <x:sheetFormatPr defaultColWidth="8.796875" defaultRowHeight="13.55000000000000071054"/>
  <x:cols>
    <x:col min="1" max="1" width="12" customWidth="1"/>
    <x:col min="2" max="2" width="9.03515625" style="80" bestFit="1" customWidth="1"/>
    <x:col min="3" max="3" width="20.77734375" customWidth="1"/>
    <x:col min="4" max="5" width="25.77734375" customWidth="1"/>
    <x:col min="6" max="6" width="13.69921875" customWidth="1"/>
    <x:col min="7" max="7" width="21.3984375" customWidth="1"/>
    <x:col min="8" max="8" width="5.33203125" customWidth="1"/>
    <x:col min="15" max="15" width="8.796875" hidden="1"/>
  </x:cols>
  <x:sheetData>
    <x:row r="2" spans="1:7" ht="41.25" customHeight="1">
      <x:c r="A2" s="234" t="s">
        <x:v>258</x:v>
      </x:c>
      <x:c r="B2" s="234"/>
      <x:c r="C2" s="234"/>
      <x:c r="D2" s="234"/>
      <x:c r="E2" s="234"/>
      <x:c r="F2" s="234"/>
      <x:c r="G2" s="234"/>
    </x:row>
    <x:row r="3" spans="2:2" customFormat="1">
      <x:c r="B3" s="80"/>
    </x:row>
    <x:row r="4" spans="1:15" s="46" customFormat="1" ht="30" customHeight="1">
      <x:c r="A4" s="81" t="s">
        <x:v>137</x:v>
      </x:c>
      <x:c r="B4" s="82"/>
      <x:c r="C4" s="81"/>
      <x:c r="D4" s="81"/>
      <x:c r="E4" s="82"/>
      <x:c r="F4" s="82"/>
      <x:c r="H4" s="1"/>
      <x:c r="I4" s="48"/>
      <x:c r="O4" s="119" t="s">
        <x:v>186</x:v>
      </x:c>
    </x:row>
    <x:row r="5" spans="1:9" s="1" customFormat="1" ht="13.5" customHeight="1">
      <x:c r="A5" s="84"/>
      <x:c r="B5" s="79"/>
      <x:c r="C5" s="84"/>
      <x:c r="D5" s="84"/>
      <x:c r="E5" s="84"/>
      <x:c r="F5" s="84"/>
      <x:c r="I5" s="47"/>
    </x:row>
    <x:row r="6" spans="1:9" s="1" customFormat="1" ht="30" customHeight="1">
      <x:c r="A6" s="120" t="s">
        <x:v>164</x:v>
      </x:c>
      <x:c r="B6" s="246" t="s">
        <x:v>295</x:v>
      </x:c>
      <x:c r="C6" s="247"/>
      <x:c r="D6" s="246" t="s">
        <x:v>324</x:v>
      </x:c>
      <x:c r="E6" s="248"/>
      <x:c r="F6" s="121" t="s">
        <x:v>86</x:v>
      </x:c>
      <x:c r="G6" s="120" t="s">
        <x:v>183</x:v>
      </x:c>
      <x:c r="I6" s="47"/>
    </x:row>
    <x:row r="7" spans="1:9" s="1" customFormat="1" ht="102" customHeight="1">
      <x:c r="A7" s="114" t="s">
        <x:v>306</x:v>
      </x:c>
      <x:c r="B7" s="249" t="s">
        <x:v>14</x:v>
      </x:c>
      <x:c r="C7" s="250"/>
      <x:c r="D7" s="251" t="s">
        <x:v>8</x:v>
      </x:c>
      <x:c r="E7" s="251"/>
      <x:c r="F7" s="112"/>
      <x:c r="G7" s="134" t="s">
        <x:v>301</x:v>
      </x:c>
      <x:c r="I7" s="47"/>
    </x:row>
    <x:row r="8" spans="1:7" s="1" customFormat="1" ht="137.40000000000000568434" customHeight="1">
      <x:c r="A8" s="133" t="s">
        <x:v>67</x:v>
      </x:c>
      <x:c r="B8" s="249" t="s">
        <x:v>7</x:v>
      </x:c>
      <x:c r="C8" s="250"/>
      <x:c r="D8" s="251" t="s">
        <x:v>18</x:v>
      </x:c>
      <x:c r="E8" s="251"/>
      <x:c r="F8" s="112"/>
      <x:c r="G8" s="114" t="s">
        <x:v>383</x:v>
      </x:c>
    </x:row>
    <x:row r="9" spans="1:7" s="1" customFormat="1" ht="168" customHeight="1">
      <x:c r="A9" s="122" t="s">
        <x:v>95</x:v>
      </x:c>
      <x:c r="B9" s="249" t="s">
        <x:v>4</x:v>
      </x:c>
      <x:c r="C9" s="250"/>
      <x:c r="D9" s="252" t="s">
        <x:v>216</x:v>
      </x:c>
      <x:c r="E9" s="253"/>
      <x:c r="F9" s="112"/>
      <x:c r="G9" s="114" t="s">
        <x:v>381</x:v>
      </x:c>
    </x:row>
    <x:row r="10" spans="1:7" s="1" customFormat="1" ht="105.59999999999999431566" customHeight="1">
      <x:c r="A10" s="122" t="s">
        <x:v>95</x:v>
      </x:c>
      <x:c r="B10" s="249" t="s">
        <x:v>54</x:v>
      </x:c>
      <x:c r="C10" s="250"/>
      <x:c r="D10" s="252" t="s">
        <x:v>6</x:v>
      </x:c>
      <x:c r="E10" s="253"/>
      <x:c r="F10" s="112"/>
      <x:c r="G10" s="134" t="s">
        <x:v>293</x:v>
      </x:c>
    </x:row>
    <x:row r="11" spans="1:7" s="1" customFormat="1" ht="54.60000000000000142109" customHeight="1">
      <x:c r="A11" s="110" t="s">
        <x:v>95</x:v>
      </x:c>
      <x:c r="B11" s="249" t="s">
        <x:v>16</x:v>
      </x:c>
      <x:c r="C11" s="250"/>
      <x:c r="D11" s="251" t="s">
        <x:v>12</x:v>
      </x:c>
      <x:c r="E11" s="251"/>
      <x:c r="F11" s="113"/>
      <x:c r="G11" s="134" t="s">
        <x:v>110</x:v>
      </x:c>
    </x:row>
    <x:row r="12" spans="1:7" s="1" customFormat="1" ht="104.40000000000000568434" customHeight="1">
      <x:c r="A12" s="110" t="s">
        <x:v>259</x:v>
      </x:c>
      <x:c r="B12" s="249" t="s">
        <x:v>35</x:v>
      </x:c>
      <x:c r="C12" s="250"/>
      <x:c r="D12" s="251" t="s">
        <x:v>5</x:v>
      </x:c>
      <x:c r="E12" s="251"/>
      <x:c r="F12" s="112"/>
      <x:c r="G12" s="134" t="s">
        <x:v>245</x:v>
      </x:c>
    </x:row>
    <x:row r="13" spans="1:7" s="1" customFormat="1" ht="120.59999999999999431566" customHeight="1">
      <x:c r="A13" s="122" t="s">
        <x:v>326</x:v>
      </x:c>
      <x:c r="B13" s="249" t="s">
        <x:v>83</x:v>
      </x:c>
      <x:c r="C13" s="250"/>
      <x:c r="D13" s="251" t="s">
        <x:v>32</x:v>
      </x:c>
      <x:c r="E13" s="251"/>
      <x:c r="F13" s="113"/>
      <x:c r="G13" s="114" t="s">
        <x:v>244</x:v>
      </x:c>
    </x:row>
    <x:row r="14" spans="1:52" s="1" customFormat="1" ht="40.79999999999999715783" customHeight="1">
      <x:c r="A14" s="254" t="s">
        <x:v>10</x:v>
      </x:c>
      <x:c r="B14" s="255"/>
      <x:c r="C14" s="255"/>
      <x:c r="D14" s="255"/>
      <x:c r="E14" s="255"/>
      <x:c r="F14" s="255"/>
      <x:c r="G14" s="255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 spans="27:52" s="123" customFormat="1" ht="31.80000000000000071054" customHeight="1">
      <x:c r="AA15" s="124"/>
      <x:c r="AB15" s="124"/>
      <x:c r="AC15" s="124"/>
      <x:c r="AD15" s="124"/>
      <x:c r="AE15" s="124"/>
      <x:c r="AF15" s="124"/>
      <x:c r="AG15" s="124"/>
      <x:c r="AH15" s="124"/>
      <x:c r="AI15" s="124"/>
      <x:c r="AJ15" s="124"/>
      <x:c r="AK15" s="124"/>
      <x:c r="AL15" s="124"/>
      <x:c r="AM15" s="124"/>
      <x:c r="AN15" s="124"/>
      <x:c r="AO15" s="124"/>
      <x:c r="AP15" s="124"/>
      <x:c r="AQ15" s="124"/>
      <x:c r="AR15" s="124"/>
      <x:c r="AS15" s="124"/>
      <x:c r="AT15" s="124"/>
      <x:c r="AU15" s="124"/>
      <x:c r="AV15" s="124"/>
      <x:c r="AW15" s="124"/>
      <x:c r="AX15" s="124"/>
      <x:c r="AY15" s="124"/>
      <x:c r="AZ15" s="124"/>
    </x:row>
    <x:row r="16" spans="2:9" s="124" customFormat="1" ht="22.5" customHeight="1">
      <x:c r="B16" s="125"/>
      <x:c r="C16" s="126" t="s">
        <x:v>307</x:v>
      </x:c>
      <x:c r="D16" s="245" t="s">
        <x:v>191</x:v>
      </x:c>
      <x:c r="E16" s="245"/>
      <x:c r="F16" s="127"/>
      <x:c r="G16" s="127"/>
      <x:c r="H16" s="127"/>
      <x:c r="I16" s="127"/>
    </x:row>
    <x:row r="17" spans="2:9" s="124" customFormat="1" ht="22.5" customHeight="1">
      <x:c r="B17" s="125"/>
      <x:c r="C17" s="126"/>
      <x:c r="D17" s="126"/>
      <x:c r="E17" s="127"/>
      <x:c r="F17" s="127"/>
      <x:c r="G17" s="127"/>
      <x:c r="H17" s="127"/>
      <x:c r="I17" s="127"/>
    </x:row>
    <x:row r="18" spans="1:7" s="124" customFormat="1" ht="22.5" customHeight="1">
      <x:c r="A18" s="128" t="s">
        <x:v>283</x:v>
      </x:c>
      <x:c r="B18" s="130" t="s">
        <x:v>181</x:v>
      </x:c>
      <x:c r="C18" s="130"/>
      <x:c r="D18" s="129" t="s">
        <x:v>175</x:v>
      </x:c>
      <x:c r="E18" s="131" t="s">
        <x:v>149</x:v>
      </x:c>
      <x:c r="F18" s="132" t="s">
        <x:v>292</x:v>
      </x:c>
      <x:c r="G18" s="132"/>
    </x:row>
    <x:row r="19" spans="1:7" s="124" customFormat="1" ht="22.5" customHeight="1">
      <x:c r="A19" s="128" t="s">
        <x:v>283</x:v>
      </x:c>
      <x:c r="B19" s="130" t="s">
        <x:v>181</x:v>
      </x:c>
      <x:c r="C19" s="130"/>
      <x:c r="D19" s="129" t="s">
        <x:v>175</x:v>
      </x:c>
      <x:c r="E19" s="131" t="s">
        <x:v>149</x:v>
      </x:c>
      <x:c r="F19" s="132" t="s">
        <x:v>292</x:v>
      </x:c>
      <x:c r="G19" s="132"/>
    </x:row>
    <x:row r="20" spans="1:7" s="124" customFormat="1" ht="22.5" customHeight="1">
      <x:c r="A20" s="128" t="s">
        <x:v>274</x:v>
      </x:c>
      <x:c r="B20" s="130" t="s">
        <x:v>181</x:v>
      </x:c>
      <x:c r="C20" s="130"/>
      <x:c r="D20" s="129" t="s">
        <x:v>175</x:v>
      </x:c>
      <x:c r="E20" s="131" t="s">
        <x:v>149</x:v>
      </x:c>
      <x:c r="F20" s="132" t="s">
        <x:v>292</x:v>
      </x:c>
      <x:c r="G20" s="132"/>
    </x:row>
    <x:row r="21" spans="2:5">
      <x:c r="B21" s="98"/>
      <x:c r="C21" s="98"/>
      <x:c r="D21" s="98"/>
      <x:c r="E21" s="98"/>
    </x:row>
    <x:row r="22" spans="2:5">
      <x:c r="B22" s="98"/>
      <x:c r="C22" s="98"/>
      <x:c r="D22" s="98"/>
      <x:c r="E22" s="98"/>
    </x:row>
    <x:row r="23" spans="2:4" hidden="1">
      <x:c r="B23" s="50">
        <x:v>6</x:v>
      </x:c>
      <x:c r="C23" s="50">
        <x:v>0</x:v>
      </x:c>
      <x:c r="D23" s="117"/>
    </x:row>
  </x:sheetData>
  <x:mergeCells count="19">
    <x:mergeCell ref="A2:G2"/>
    <x:mergeCell ref="B6:C6"/>
    <x:mergeCell ref="D6:E6"/>
    <x:mergeCell ref="B7:C7"/>
    <x:mergeCell ref="D7:E7"/>
    <x:mergeCell ref="B8:C8"/>
    <x:mergeCell ref="D8:E8"/>
    <x:mergeCell ref="B9:C9"/>
    <x:mergeCell ref="D9:E9"/>
    <x:mergeCell ref="B10:C10"/>
    <x:mergeCell ref="D10:E10"/>
    <x:mergeCell ref="B11:C11"/>
    <x:mergeCell ref="D11:E11"/>
    <x:mergeCell ref="B12:C12"/>
    <x:mergeCell ref="D12:E12"/>
    <x:mergeCell ref="B13:C13"/>
    <x:mergeCell ref="D13:E13"/>
    <x:mergeCell ref="A14:G14"/>
    <x:mergeCell ref="D16:E16"/>
  </x:mergeCells>
  <x:conditionalFormatting sqref="F16:I16 E17:I17 D16:D16">
    <x:cfRule type="cellIs" dxfId="13" priority="1" stopIfTrue="1" operator="equal">
      <x:formula>"[Ctrl + ;] 입력"</x:formula>
    </x:cfRule>
  </x:conditionalFormatting>
  <x:dataValidations count="1">
    <x:dataValidation type="list" operator="equal" allowBlank="1" showInputMessage="1" showErrorMessage="1" sqref="F7:F13">
      <x:formula1>$O$4:$O$4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51" firstPageNumber="1" fitToWidth="1" fitToHeight="0" orientation="portrait" usePrinterDefaults="1" blackAndWhite="0" draft="0" useFirstPageNumber="0" horizontalDpi="0" verticalDpi="0" copies="1"/>
  <x:rowBreaks count="1" manualBreakCount="1">
    <x:brk id="20" min="0" max="1048575" man="1" pt="0"/>
  </x:row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위생표지</vt:lpstr>
      <vt:lpstr>위생(1)</vt:lpstr>
      <vt:lpstr>위생(2)</vt:lpstr>
      <vt:lpstr>위생(3)</vt:lpstr>
      <vt:lpstr>운영(교육청)</vt:lpstr>
      <vt:lpstr>운영(학교)</vt:lpstr>
    </vt:vector>
  </ep:TitlesOfParts>
  <ep:TotalTime>1014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revision>140</cp:revision>
  <cp:lastPrinted>2016-04-19T05:46:17.000</cp:lastPrinted>
  <dcterms:created xsi:type="dcterms:W3CDTF">2007-04-16T06:33:08.000</dcterms:created>
  <dcterms:modified xsi:type="dcterms:W3CDTF">2026-10-22T08:55:57.592</dcterms:modified>
  <cp:version>1200.0100.01</cp:version>
</cp:coreProperties>
</file>